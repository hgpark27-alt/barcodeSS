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U:\공유 폴더\a_tkm\1) TKM Ops\1) Applied Materials Korea\01. Sym3 Cleaning\거래명세서\거래명세서\2026년\260601\"/>
    </mc:Choice>
  </mc:AlternateContent>
  <xr:revisionPtr revIDLastSave="0" documentId="8_{80F0CB5B-2F05-4490-B4BC-D534D5CB0779}" xr6:coauthVersionLast="47" xr6:coauthVersionMax="47" xr10:uidLastSave="{00000000-0000-0000-0000-000000000000}"/>
  <bookViews>
    <workbookView xWindow="-120" yWindow="-120" windowWidth="29040" windowHeight="15840" tabRatio="895" xr2:uid="{00000000-000D-0000-FFFF-FFFF00000000}"/>
  </bookViews>
  <sheets>
    <sheet name="YJLee" sheetId="1506" r:id="rId1"/>
    <sheet name="PO" sheetId="1494" r:id="rId2"/>
    <sheet name="4522829284" sheetId="1548" r:id="rId3"/>
    <sheet name="4522838505" sheetId="1549" r:id="rId4"/>
    <sheet name="4522839142" sheetId="1550" r:id="rId5"/>
    <sheet name="4522865530" sheetId="1551" r:id="rId6"/>
    <sheet name="4522875058" sheetId="1552" r:id="rId7"/>
    <sheet name="4522875466" sheetId="1553" r:id="rId8"/>
    <sheet name="4522875365" sheetId="1554" r:id="rId9"/>
    <sheet name="4522875359" sheetId="1555" r:id="rId10"/>
    <sheet name="4522875480" sheetId="1556" r:id="rId11"/>
    <sheet name="4522875397" sheetId="1557" r:id="rId12"/>
    <sheet name="4522875459" sheetId="1558" r:id="rId13"/>
    <sheet name="4522875435" sheetId="1559" r:id="rId14"/>
    <sheet name="4522866605" sheetId="1560" r:id="rId15"/>
    <sheet name="4522875887" sheetId="1561" r:id="rId16"/>
    <sheet name="4522866561" sheetId="1562" r:id="rId17"/>
    <sheet name="4522876043" sheetId="1563" r:id="rId18"/>
    <sheet name="4522885089" sheetId="1564" r:id="rId19"/>
  </sheets>
  <definedNames>
    <definedName name="_xlnm._FilterDatabase" localSheetId="0" hidden="1">YJLee!$A$1:$AG$80</definedName>
    <definedName name="PO">YJLee!$AA:$AE</definedName>
    <definedName name="_xlnm.Print_Area" localSheetId="2">'4522829284'!$A$2:$V$22</definedName>
    <definedName name="_xlnm.Print_Area" localSheetId="3">'4522838505'!$A$2:$V$22</definedName>
    <definedName name="_xlnm.Print_Area" localSheetId="4">'4522839142'!$A$2:$V$22</definedName>
    <definedName name="_xlnm.Print_Area" localSheetId="5">'4522865530'!$A$2:$V$22</definedName>
    <definedName name="_xlnm.Print_Area" localSheetId="16">'4522866561'!$A$2:$V$22</definedName>
    <definedName name="_xlnm.Print_Area" localSheetId="14">'4522866605'!$A$2:$V$22</definedName>
    <definedName name="_xlnm.Print_Area" localSheetId="6">'4522875058'!$A$2:$V$22</definedName>
    <definedName name="_xlnm.Print_Area" localSheetId="9">'4522875359'!$A$2:$V$22</definedName>
    <definedName name="_xlnm.Print_Area" localSheetId="8">'4522875365'!$A$2:$V$22</definedName>
    <definedName name="_xlnm.Print_Area" localSheetId="11">'4522875397'!$A$2:$V$22</definedName>
    <definedName name="_xlnm.Print_Area" localSheetId="13">'4522875435'!$A$2:$V$22</definedName>
    <definedName name="_xlnm.Print_Area" localSheetId="12">'4522875459'!$A$2:$V$22</definedName>
    <definedName name="_xlnm.Print_Area" localSheetId="7">'4522875466'!$A$2:$V$22</definedName>
    <definedName name="_xlnm.Print_Area" localSheetId="10">'4522875480'!$A$2:$V$22</definedName>
    <definedName name="_xlnm.Print_Area" localSheetId="15">'4522875887'!$A$2:$V$22</definedName>
    <definedName name="_xlnm.Print_Area" localSheetId="17">'4522876043'!$A$2:$V$22</definedName>
    <definedName name="_xlnm.Print_Area" localSheetId="18">'4522885089'!$A$2:$V$22</definedName>
    <definedName name="_xlnm.Print_Area" localSheetId="1">PO!$A$2:$V$22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2" i="1564" l="1"/>
  <c r="R22" i="1564"/>
  <c r="O22" i="1564"/>
  <c r="N22" i="1564"/>
  <c r="F19" i="1564"/>
  <c r="U14" i="1564"/>
  <c r="S14" i="1564"/>
  <c r="R14" i="1564"/>
  <c r="U13" i="1564"/>
  <c r="S13" i="1564"/>
  <c r="R13" i="1564"/>
  <c r="Q13" i="1564"/>
  <c r="O13" i="1564"/>
  <c r="N13" i="1564"/>
  <c r="S12" i="1564"/>
  <c r="R12" i="1564"/>
  <c r="Q12" i="1564"/>
  <c r="O12" i="1564"/>
  <c r="N12" i="1564"/>
  <c r="R11" i="1564"/>
  <c r="O11" i="1564"/>
  <c r="N11" i="1564"/>
  <c r="G11" i="1564"/>
  <c r="R6" i="1564"/>
  <c r="N6" i="1564"/>
  <c r="N5" i="1564"/>
  <c r="R4" i="1564"/>
  <c r="N2" i="1564"/>
  <c r="S22" i="1563"/>
  <c r="R22" i="1563"/>
  <c r="O22" i="1563"/>
  <c r="N22" i="1563"/>
  <c r="F19" i="1563"/>
  <c r="U14" i="1563"/>
  <c r="S14" i="1563"/>
  <c r="R14" i="1563"/>
  <c r="U13" i="1563"/>
  <c r="S13" i="1563"/>
  <c r="R13" i="1563"/>
  <c r="Q13" i="1563"/>
  <c r="O13" i="1563"/>
  <c r="N13" i="1563"/>
  <c r="S12" i="1563"/>
  <c r="R12" i="1563"/>
  <c r="Q12" i="1563"/>
  <c r="O12" i="1563"/>
  <c r="N12" i="1563"/>
  <c r="R11" i="1563"/>
  <c r="O11" i="1563"/>
  <c r="N11" i="1563"/>
  <c r="G11" i="1563"/>
  <c r="R6" i="1563"/>
  <c r="N6" i="1563"/>
  <c r="N5" i="1563"/>
  <c r="R4" i="1563"/>
  <c r="N2" i="1563"/>
  <c r="S22" i="1562"/>
  <c r="R22" i="1562"/>
  <c r="O22" i="1562"/>
  <c r="N22" i="1562"/>
  <c r="F19" i="1562"/>
  <c r="U14" i="1562"/>
  <c r="S14" i="1562"/>
  <c r="R14" i="1562"/>
  <c r="U13" i="1562"/>
  <c r="S13" i="1562"/>
  <c r="R13" i="1562"/>
  <c r="Q13" i="1562"/>
  <c r="O13" i="1562"/>
  <c r="N13" i="1562"/>
  <c r="S12" i="1562"/>
  <c r="R12" i="1562"/>
  <c r="Q12" i="1562"/>
  <c r="O12" i="1562"/>
  <c r="N12" i="1562"/>
  <c r="R11" i="1562"/>
  <c r="O11" i="1562"/>
  <c r="N11" i="1562"/>
  <c r="G11" i="1562"/>
  <c r="R6" i="1562"/>
  <c r="N6" i="1562"/>
  <c r="N5" i="1562"/>
  <c r="R4" i="1562"/>
  <c r="N2" i="1562"/>
  <c r="S22" i="1561"/>
  <c r="R22" i="1561"/>
  <c r="O22" i="1561"/>
  <c r="N22" i="1561"/>
  <c r="F19" i="1561"/>
  <c r="U14" i="1561"/>
  <c r="S14" i="1561"/>
  <c r="R14" i="1561"/>
  <c r="U13" i="1561"/>
  <c r="S13" i="1561"/>
  <c r="R13" i="1561"/>
  <c r="Q13" i="1561"/>
  <c r="O13" i="1561"/>
  <c r="N13" i="1561"/>
  <c r="S12" i="1561"/>
  <c r="R12" i="1561"/>
  <c r="Q12" i="1561"/>
  <c r="O12" i="1561"/>
  <c r="N12" i="1561"/>
  <c r="R11" i="1561"/>
  <c r="O11" i="1561"/>
  <c r="N11" i="1561"/>
  <c r="G11" i="1561"/>
  <c r="R6" i="1561"/>
  <c r="N6" i="1561"/>
  <c r="N5" i="1561"/>
  <c r="R4" i="1561"/>
  <c r="N2" i="1561"/>
  <c r="S22" i="1560"/>
  <c r="R22" i="1560"/>
  <c r="O22" i="1560"/>
  <c r="N22" i="1560"/>
  <c r="F19" i="1560"/>
  <c r="U14" i="1560"/>
  <c r="S14" i="1560"/>
  <c r="R14" i="1560"/>
  <c r="U13" i="1560"/>
  <c r="S13" i="1560"/>
  <c r="R13" i="1560"/>
  <c r="Q13" i="1560"/>
  <c r="O13" i="1560"/>
  <c r="N13" i="1560"/>
  <c r="U12" i="1560"/>
  <c r="S12" i="1560"/>
  <c r="R12" i="1560"/>
  <c r="Q12" i="1560"/>
  <c r="O12" i="1560"/>
  <c r="N12" i="1560"/>
  <c r="R11" i="1560"/>
  <c r="O11" i="1560"/>
  <c r="N11" i="1560"/>
  <c r="G11" i="1560"/>
  <c r="R6" i="1560"/>
  <c r="N6" i="1560"/>
  <c r="N5" i="1560"/>
  <c r="R4" i="1560"/>
  <c r="N2" i="1560"/>
  <c r="S22" i="1559"/>
  <c r="R22" i="1559"/>
  <c r="O22" i="1559"/>
  <c r="N22" i="1559"/>
  <c r="F19" i="1559"/>
  <c r="U14" i="1559"/>
  <c r="S14" i="1559"/>
  <c r="R14" i="1559"/>
  <c r="U13" i="1559"/>
  <c r="S13" i="1559"/>
  <c r="R13" i="1559"/>
  <c r="Q13" i="1559"/>
  <c r="O13" i="1559"/>
  <c r="N13" i="1559"/>
  <c r="S12" i="1559"/>
  <c r="R12" i="1559"/>
  <c r="Q12" i="1559"/>
  <c r="O12" i="1559"/>
  <c r="N12" i="1559"/>
  <c r="R11" i="1559"/>
  <c r="O11" i="1559"/>
  <c r="N11" i="1559"/>
  <c r="G11" i="1559"/>
  <c r="R6" i="1559"/>
  <c r="N6" i="1559"/>
  <c r="N5" i="1559"/>
  <c r="R4" i="1559"/>
  <c r="N2" i="1559"/>
  <c r="S22" i="1558"/>
  <c r="R22" i="1558"/>
  <c r="O22" i="1558"/>
  <c r="N22" i="1558"/>
  <c r="F19" i="1558"/>
  <c r="U14" i="1558"/>
  <c r="S14" i="1558"/>
  <c r="R14" i="1558"/>
  <c r="U13" i="1558"/>
  <c r="S13" i="1558"/>
  <c r="R13" i="1558"/>
  <c r="Q13" i="1558"/>
  <c r="O13" i="1558"/>
  <c r="N13" i="1558"/>
  <c r="U12" i="1558"/>
  <c r="S12" i="1558"/>
  <c r="R12" i="1558"/>
  <c r="Q12" i="1558"/>
  <c r="O12" i="1558"/>
  <c r="N12" i="1558"/>
  <c r="R11" i="1558"/>
  <c r="O11" i="1558"/>
  <c r="N11" i="1558"/>
  <c r="G11" i="1558"/>
  <c r="R6" i="1558"/>
  <c r="N6" i="1558"/>
  <c r="N5" i="1558"/>
  <c r="R4" i="1558"/>
  <c r="N2" i="1558"/>
  <c r="S22" i="1557"/>
  <c r="R22" i="1557"/>
  <c r="O22" i="1557"/>
  <c r="N22" i="1557"/>
  <c r="F19" i="1557"/>
  <c r="U14" i="1557"/>
  <c r="S14" i="1557"/>
  <c r="R14" i="1557"/>
  <c r="U13" i="1557"/>
  <c r="S13" i="1557"/>
  <c r="R13" i="1557"/>
  <c r="Q13" i="1557"/>
  <c r="O13" i="1557"/>
  <c r="N13" i="1557"/>
  <c r="S12" i="1557"/>
  <c r="R12" i="1557"/>
  <c r="Q12" i="1557"/>
  <c r="O12" i="1557"/>
  <c r="N12" i="1557"/>
  <c r="R11" i="1557"/>
  <c r="O11" i="1557"/>
  <c r="N11" i="1557"/>
  <c r="G11" i="1557"/>
  <c r="R6" i="1557"/>
  <c r="N6" i="1557"/>
  <c r="N5" i="1557"/>
  <c r="R4" i="1557"/>
  <c r="N2" i="1557"/>
  <c r="S22" i="1556"/>
  <c r="R22" i="1556"/>
  <c r="O22" i="1556"/>
  <c r="N22" i="1556"/>
  <c r="F19" i="1556"/>
  <c r="U14" i="1556"/>
  <c r="S14" i="1556"/>
  <c r="R14" i="1556"/>
  <c r="U13" i="1556"/>
  <c r="S13" i="1556"/>
  <c r="R13" i="1556"/>
  <c r="Q13" i="1556"/>
  <c r="O13" i="1556"/>
  <c r="N13" i="1556"/>
  <c r="S12" i="1556"/>
  <c r="R12" i="1556"/>
  <c r="Q12" i="1556"/>
  <c r="O12" i="1556"/>
  <c r="N12" i="1556"/>
  <c r="R11" i="1556"/>
  <c r="O11" i="1556"/>
  <c r="N11" i="1556"/>
  <c r="G11" i="1556"/>
  <c r="R6" i="1556"/>
  <c r="N6" i="1556"/>
  <c r="N5" i="1556"/>
  <c r="R4" i="1556"/>
  <c r="N2" i="1556"/>
  <c r="S22" i="1555"/>
  <c r="R22" i="1555"/>
  <c r="O22" i="1555"/>
  <c r="N22" i="1555"/>
  <c r="F19" i="1555"/>
  <c r="U14" i="1555"/>
  <c r="S14" i="1555"/>
  <c r="R14" i="1555"/>
  <c r="U13" i="1555"/>
  <c r="S13" i="1555"/>
  <c r="R13" i="1555"/>
  <c r="Q13" i="1555"/>
  <c r="O13" i="1555"/>
  <c r="N13" i="1555"/>
  <c r="S12" i="1555"/>
  <c r="R12" i="1555"/>
  <c r="Q12" i="1555"/>
  <c r="O12" i="1555"/>
  <c r="N12" i="1555"/>
  <c r="R11" i="1555"/>
  <c r="O11" i="1555"/>
  <c r="N11" i="1555"/>
  <c r="G11" i="1555"/>
  <c r="R6" i="1555"/>
  <c r="N6" i="1555"/>
  <c r="N5" i="1555"/>
  <c r="R4" i="1555"/>
  <c r="N2" i="1555"/>
  <c r="S22" i="1554"/>
  <c r="R22" i="1554"/>
  <c r="O22" i="1554"/>
  <c r="N22" i="1554"/>
  <c r="F19" i="1554"/>
  <c r="U14" i="1554"/>
  <c r="S14" i="1554"/>
  <c r="R14" i="1554"/>
  <c r="U13" i="1554"/>
  <c r="S13" i="1554"/>
  <c r="R13" i="1554"/>
  <c r="Q13" i="1554"/>
  <c r="O13" i="1554"/>
  <c r="N13" i="1554"/>
  <c r="S12" i="1554"/>
  <c r="R12" i="1554"/>
  <c r="Q12" i="1554"/>
  <c r="O12" i="1554"/>
  <c r="N12" i="1554"/>
  <c r="R11" i="1554"/>
  <c r="O11" i="1554"/>
  <c r="N11" i="1554"/>
  <c r="G11" i="1554"/>
  <c r="R6" i="1554"/>
  <c r="N6" i="1554"/>
  <c r="N5" i="1554"/>
  <c r="R4" i="1554"/>
  <c r="N2" i="1554"/>
  <c r="S22" i="1553"/>
  <c r="R22" i="1553"/>
  <c r="O22" i="1553"/>
  <c r="N22" i="1553"/>
  <c r="F19" i="1553"/>
  <c r="U14" i="1553"/>
  <c r="S14" i="1553"/>
  <c r="R14" i="1553"/>
  <c r="U13" i="1553"/>
  <c r="S13" i="1553"/>
  <c r="R13" i="1553"/>
  <c r="Q13" i="1553"/>
  <c r="O13" i="1553"/>
  <c r="N13" i="1553"/>
  <c r="S12" i="1553"/>
  <c r="R12" i="1553"/>
  <c r="Q12" i="1553"/>
  <c r="O12" i="1553"/>
  <c r="N12" i="1553"/>
  <c r="R11" i="1553"/>
  <c r="O11" i="1553"/>
  <c r="N11" i="1553"/>
  <c r="G11" i="1553"/>
  <c r="R6" i="1553"/>
  <c r="N6" i="1553"/>
  <c r="N5" i="1553"/>
  <c r="R4" i="1553"/>
  <c r="N2" i="1553"/>
  <c r="S22" i="1552"/>
  <c r="R22" i="1552"/>
  <c r="O22" i="1552"/>
  <c r="N22" i="1552"/>
  <c r="F19" i="1552"/>
  <c r="U14" i="1552"/>
  <c r="S14" i="1552"/>
  <c r="R14" i="1552"/>
  <c r="U13" i="1552"/>
  <c r="S13" i="1552"/>
  <c r="R13" i="1552"/>
  <c r="Q13" i="1552"/>
  <c r="O13" i="1552"/>
  <c r="N13" i="1552"/>
  <c r="S12" i="1552"/>
  <c r="R12" i="1552"/>
  <c r="Q12" i="1552"/>
  <c r="O12" i="1552"/>
  <c r="N12" i="1552"/>
  <c r="R11" i="1552"/>
  <c r="O11" i="1552"/>
  <c r="N11" i="1552"/>
  <c r="G11" i="1552"/>
  <c r="R6" i="1552"/>
  <c r="N6" i="1552"/>
  <c r="N5" i="1552"/>
  <c r="R4" i="1552"/>
  <c r="N2" i="1552"/>
  <c r="S22" i="1551"/>
  <c r="R22" i="1551"/>
  <c r="O22" i="1551"/>
  <c r="N22" i="1551"/>
  <c r="F19" i="1551"/>
  <c r="U14" i="1551"/>
  <c r="S14" i="1551"/>
  <c r="R14" i="1551"/>
  <c r="U13" i="1551"/>
  <c r="S13" i="1551"/>
  <c r="R13" i="1551"/>
  <c r="Q13" i="1551"/>
  <c r="O13" i="1551"/>
  <c r="N13" i="1551"/>
  <c r="S12" i="1551"/>
  <c r="R12" i="1551"/>
  <c r="Q12" i="1551"/>
  <c r="O12" i="1551"/>
  <c r="N12" i="1551"/>
  <c r="R11" i="1551"/>
  <c r="O11" i="1551"/>
  <c r="N11" i="1551"/>
  <c r="G11" i="1551"/>
  <c r="R6" i="1551"/>
  <c r="N6" i="1551"/>
  <c r="N5" i="1551"/>
  <c r="R4" i="1551"/>
  <c r="N2" i="1551"/>
  <c r="S22" i="1550"/>
  <c r="R22" i="1550"/>
  <c r="O22" i="1550"/>
  <c r="N22" i="1550"/>
  <c r="F19" i="1550"/>
  <c r="U14" i="1550"/>
  <c r="S14" i="1550"/>
  <c r="R14" i="1550"/>
  <c r="U13" i="1550"/>
  <c r="S13" i="1550"/>
  <c r="R13" i="1550"/>
  <c r="Q13" i="1550"/>
  <c r="O13" i="1550"/>
  <c r="N13" i="1550"/>
  <c r="S12" i="1550"/>
  <c r="R12" i="1550"/>
  <c r="Q12" i="1550"/>
  <c r="O12" i="1550"/>
  <c r="N12" i="1550"/>
  <c r="R11" i="1550"/>
  <c r="O11" i="1550"/>
  <c r="N11" i="1550"/>
  <c r="G11" i="1550"/>
  <c r="R6" i="1550"/>
  <c r="N6" i="1550"/>
  <c r="N5" i="1550"/>
  <c r="R4" i="1550"/>
  <c r="N2" i="1550"/>
  <c r="S22" i="1549"/>
  <c r="R22" i="1549"/>
  <c r="O22" i="1549"/>
  <c r="N22" i="1549"/>
  <c r="F19" i="1549"/>
  <c r="U14" i="1549"/>
  <c r="S14" i="1549"/>
  <c r="R14" i="1549"/>
  <c r="U13" i="1549"/>
  <c r="S13" i="1549"/>
  <c r="R13" i="1549"/>
  <c r="Q13" i="1549"/>
  <c r="O13" i="1549"/>
  <c r="N13" i="1549"/>
  <c r="S12" i="1549"/>
  <c r="R12" i="1549"/>
  <c r="Q12" i="1549"/>
  <c r="O12" i="1549"/>
  <c r="N12" i="1549"/>
  <c r="R11" i="1549"/>
  <c r="O11" i="1549"/>
  <c r="N11" i="1549"/>
  <c r="G11" i="1549"/>
  <c r="R6" i="1549"/>
  <c r="N6" i="1549"/>
  <c r="N5" i="1549"/>
  <c r="R4" i="1549"/>
  <c r="N2" i="1549"/>
  <c r="S22" i="1548"/>
  <c r="R22" i="1548"/>
  <c r="O22" i="1548"/>
  <c r="N22" i="1548"/>
  <c r="F19" i="1548"/>
  <c r="U14" i="1548"/>
  <c r="S14" i="1548"/>
  <c r="R14" i="1548"/>
  <c r="U13" i="1548"/>
  <c r="S13" i="1548"/>
  <c r="R13" i="1548"/>
  <c r="Q13" i="1548"/>
  <c r="O13" i="1548"/>
  <c r="N13" i="1548"/>
  <c r="S12" i="1548"/>
  <c r="R12" i="1548"/>
  <c r="Q12" i="1548"/>
  <c r="O12" i="1548"/>
  <c r="N12" i="1548"/>
  <c r="R11" i="1548"/>
  <c r="O11" i="1548"/>
  <c r="N11" i="1548"/>
  <c r="G11" i="1548"/>
  <c r="R6" i="1548"/>
  <c r="N6" i="1548"/>
  <c r="N5" i="1548"/>
  <c r="R4" i="1548"/>
  <c r="N2" i="1548"/>
  <c r="AE82" i="1506"/>
  <c r="AA81" i="1506"/>
  <c r="AE81" i="1506" s="1"/>
  <c r="AA82" i="1506"/>
  <c r="AC82" i="1506"/>
  <c r="AB82" i="1506"/>
  <c r="AD82" i="1506"/>
  <c r="AD83" i="1506"/>
  <c r="AD84" i="1506"/>
  <c r="AD85" i="1506"/>
  <c r="AD86" i="1506"/>
  <c r="AA80" i="1506"/>
  <c r="AE80" i="1506" s="1"/>
  <c r="R19" i="1564" l="1"/>
  <c r="S11" i="1564"/>
  <c r="U12" i="1564"/>
  <c r="I11" i="1564"/>
  <c r="G19" i="1564"/>
  <c r="R19" i="1563"/>
  <c r="G19" i="1563"/>
  <c r="U12" i="1563"/>
  <c r="S11" i="1563"/>
  <c r="I11" i="1563"/>
  <c r="R19" i="1562"/>
  <c r="G19" i="1562"/>
  <c r="U12" i="1562"/>
  <c r="S11" i="1562"/>
  <c r="I11" i="1562"/>
  <c r="R19" i="1561"/>
  <c r="G19" i="1561"/>
  <c r="U12" i="1561"/>
  <c r="S11" i="1561"/>
  <c r="I11" i="1561"/>
  <c r="R19" i="1560"/>
  <c r="G19" i="1560"/>
  <c r="S11" i="1560"/>
  <c r="I11" i="1560"/>
  <c r="G19" i="1559"/>
  <c r="S11" i="1559"/>
  <c r="I11" i="1559"/>
  <c r="R19" i="1559"/>
  <c r="U12" i="1559"/>
  <c r="R19" i="1558"/>
  <c r="G19" i="1558"/>
  <c r="S11" i="1558"/>
  <c r="I11" i="1558"/>
  <c r="G19" i="1557"/>
  <c r="U12" i="1557"/>
  <c r="S11" i="1557"/>
  <c r="R19" i="1557"/>
  <c r="I11" i="1557"/>
  <c r="R19" i="1556"/>
  <c r="G19" i="1556"/>
  <c r="S11" i="1556"/>
  <c r="U12" i="1556"/>
  <c r="I11" i="1556"/>
  <c r="S11" i="1555"/>
  <c r="R19" i="1555"/>
  <c r="G19" i="1555"/>
  <c r="U12" i="1555"/>
  <c r="I11" i="1555"/>
  <c r="R19" i="1554"/>
  <c r="G19" i="1554"/>
  <c r="S11" i="1554"/>
  <c r="U12" i="1554"/>
  <c r="I11" i="1554"/>
  <c r="R19" i="1553"/>
  <c r="G19" i="1553"/>
  <c r="U12" i="1553"/>
  <c r="S11" i="1553"/>
  <c r="I11" i="1553"/>
  <c r="R19" i="1552"/>
  <c r="U12" i="1552"/>
  <c r="S11" i="1552"/>
  <c r="G19" i="1552"/>
  <c r="I11" i="1552"/>
  <c r="R19" i="1551"/>
  <c r="G19" i="1551"/>
  <c r="S11" i="1551"/>
  <c r="U12" i="1551"/>
  <c r="I11" i="1551"/>
  <c r="R19" i="1550"/>
  <c r="U12" i="1550"/>
  <c r="S11" i="1550"/>
  <c r="I11" i="1550"/>
  <c r="G19" i="1550"/>
  <c r="R19" i="1549"/>
  <c r="U12" i="1549"/>
  <c r="S11" i="1549"/>
  <c r="I11" i="1549"/>
  <c r="G19" i="1549"/>
  <c r="R19" i="1548"/>
  <c r="G19" i="1548"/>
  <c r="U12" i="1548"/>
  <c r="S11" i="1548"/>
  <c r="I11" i="1548"/>
  <c r="AB81" i="1506"/>
  <c r="AD81" i="1506"/>
  <c r="AC81" i="1506"/>
  <c r="AC80" i="1506"/>
  <c r="AB80" i="1506"/>
  <c r="AD80" i="1506"/>
  <c r="AA79" i="1506"/>
  <c r="AB79" i="1506" s="1"/>
  <c r="AA15" i="1506"/>
  <c r="AE15" i="1506" s="1"/>
  <c r="AA16" i="1506"/>
  <c r="AB16" i="1506" s="1"/>
  <c r="AA17" i="1506"/>
  <c r="AE17" i="1506" s="1"/>
  <c r="AA55" i="1506"/>
  <c r="AE55" i="1506" s="1"/>
  <c r="AA54" i="1506"/>
  <c r="AE54" i="1506" s="1"/>
  <c r="AA53" i="1506"/>
  <c r="AB53" i="1506" s="1"/>
  <c r="AA52" i="1506"/>
  <c r="AD52" i="1506" s="1"/>
  <c r="AA51" i="1506"/>
  <c r="AE51" i="1506" s="1"/>
  <c r="AA50" i="1506"/>
  <c r="AE50" i="1506" s="1"/>
  <c r="AA49" i="1506"/>
  <c r="AB49" i="1506" s="1"/>
  <c r="AA48" i="1506"/>
  <c r="AD48" i="1506" s="1"/>
  <c r="AA47" i="1506"/>
  <c r="AE47" i="1506" s="1"/>
  <c r="AA46" i="1506"/>
  <c r="AB46" i="1506" s="1"/>
  <c r="AA45" i="1506"/>
  <c r="AC45" i="1506" s="1"/>
  <c r="AA44" i="1506"/>
  <c r="AD44" i="1506" s="1"/>
  <c r="AA43" i="1506"/>
  <c r="AB43" i="1506" s="1"/>
  <c r="AA42" i="1506"/>
  <c r="AE42" i="1506" s="1"/>
  <c r="AA41" i="1506"/>
  <c r="AC41" i="1506" s="1"/>
  <c r="AA40" i="1506"/>
  <c r="AD40" i="1506" s="1"/>
  <c r="AA39" i="1506"/>
  <c r="AE39" i="1506" s="1"/>
  <c r="AA38" i="1506"/>
  <c r="AE38" i="1506" s="1"/>
  <c r="AA37" i="1506"/>
  <c r="AC37" i="1506" s="1"/>
  <c r="U11" i="1564" l="1"/>
  <c r="I19" i="1564"/>
  <c r="U19" i="1564" s="1"/>
  <c r="S19" i="1564"/>
  <c r="F20" i="1564"/>
  <c r="S19" i="1563"/>
  <c r="I19" i="1563"/>
  <c r="U19" i="1563" s="1"/>
  <c r="U11" i="1563"/>
  <c r="S19" i="1562"/>
  <c r="U11" i="1562"/>
  <c r="I19" i="1562"/>
  <c r="U19" i="1562" s="1"/>
  <c r="S19" i="1561"/>
  <c r="U11" i="1561"/>
  <c r="I19" i="1561"/>
  <c r="U19" i="1561" s="1"/>
  <c r="S19" i="1560"/>
  <c r="U11" i="1560"/>
  <c r="I19" i="1560"/>
  <c r="U19" i="1560" s="1"/>
  <c r="S19" i="1559"/>
  <c r="I19" i="1559"/>
  <c r="U19" i="1559" s="1"/>
  <c r="U11" i="1559"/>
  <c r="S19" i="1558"/>
  <c r="I19" i="1558"/>
  <c r="U19" i="1558" s="1"/>
  <c r="U11" i="1558"/>
  <c r="S19" i="1557"/>
  <c r="U11" i="1557"/>
  <c r="I19" i="1557"/>
  <c r="U19" i="1557" s="1"/>
  <c r="S19" i="1556"/>
  <c r="U11" i="1556"/>
  <c r="I19" i="1556"/>
  <c r="U19" i="1556" s="1"/>
  <c r="S19" i="1555"/>
  <c r="I19" i="1555"/>
  <c r="U19" i="1555" s="1"/>
  <c r="U11" i="1555"/>
  <c r="S19" i="1554"/>
  <c r="U11" i="1554"/>
  <c r="I19" i="1554"/>
  <c r="U19" i="1554" s="1"/>
  <c r="S19" i="1553"/>
  <c r="I19" i="1553"/>
  <c r="U19" i="1553" s="1"/>
  <c r="U11" i="1553"/>
  <c r="S19" i="1552"/>
  <c r="I19" i="1552"/>
  <c r="U19" i="1552" s="1"/>
  <c r="U11" i="1552"/>
  <c r="S19" i="1551"/>
  <c r="I19" i="1551"/>
  <c r="U19" i="1551" s="1"/>
  <c r="U11" i="1551"/>
  <c r="U11" i="1550"/>
  <c r="I19" i="1550"/>
  <c r="U19" i="1550" s="1"/>
  <c r="S19" i="1550"/>
  <c r="U11" i="1549"/>
  <c r="I19" i="1549"/>
  <c r="U19" i="1549" s="1"/>
  <c r="S19" i="1549"/>
  <c r="S19" i="1548"/>
  <c r="U11" i="1548"/>
  <c r="I19" i="1548"/>
  <c r="U19" i="1548" s="1"/>
  <c r="AC79" i="1506"/>
  <c r="AD79" i="1506"/>
  <c r="AE79" i="1506"/>
  <c r="AD15" i="1506"/>
  <c r="AD17" i="1506"/>
  <c r="AC15" i="1506"/>
  <c r="AB17" i="1506"/>
  <c r="AC16" i="1506"/>
  <c r="AE16" i="1506"/>
  <c r="AB15" i="1506"/>
  <c r="AD16" i="1506"/>
  <c r="AC17" i="1506"/>
  <c r="AD55" i="1506"/>
  <c r="AD51" i="1506"/>
  <c r="AD47" i="1506"/>
  <c r="AD39" i="1506"/>
  <c r="AD54" i="1506"/>
  <c r="AD50" i="1506"/>
  <c r="AD46" i="1506"/>
  <c r="AD43" i="1506"/>
  <c r="AD42" i="1506"/>
  <c r="AD38" i="1506"/>
  <c r="AD53" i="1506"/>
  <c r="AD49" i="1506"/>
  <c r="AD45" i="1506"/>
  <c r="AD41" i="1506"/>
  <c r="AD37" i="1506"/>
  <c r="AC42" i="1506"/>
  <c r="AB42" i="1506"/>
  <c r="AB47" i="1506"/>
  <c r="AC49" i="1506"/>
  <c r="AB50" i="1506"/>
  <c r="AB38" i="1506"/>
  <c r="AC50" i="1506"/>
  <c r="AC43" i="1506"/>
  <c r="AB54" i="1506"/>
  <c r="AB39" i="1506"/>
  <c r="AB51" i="1506"/>
  <c r="AC38" i="1506"/>
  <c r="AC39" i="1506"/>
  <c r="AC46" i="1506"/>
  <c r="AC47" i="1506"/>
  <c r="AC53" i="1506"/>
  <c r="AC54" i="1506"/>
  <c r="AB55" i="1506"/>
  <c r="AB48" i="1506"/>
  <c r="AE49" i="1506"/>
  <c r="AC51" i="1506"/>
  <c r="AB52" i="1506"/>
  <c r="AE53" i="1506"/>
  <c r="AC55" i="1506"/>
  <c r="AE48" i="1506"/>
  <c r="AE52" i="1506"/>
  <c r="AC48" i="1506"/>
  <c r="AC52" i="1506"/>
  <c r="AE44" i="1506"/>
  <c r="AB37" i="1506"/>
  <c r="AC40" i="1506"/>
  <c r="AB41" i="1506"/>
  <c r="AE43" i="1506"/>
  <c r="AC44" i="1506"/>
  <c r="AB45" i="1506"/>
  <c r="AE46" i="1506"/>
  <c r="AE40" i="1506"/>
  <c r="AE37" i="1506"/>
  <c r="AB40" i="1506"/>
  <c r="AE41" i="1506"/>
  <c r="AB44" i="1506"/>
  <c r="AE45" i="1506"/>
  <c r="R20" i="1564" l="1"/>
  <c r="S9" i="1564" s="1"/>
  <c r="O9" i="1564" s="1"/>
  <c r="G9" i="1564"/>
  <c r="C9" i="1564" s="1"/>
  <c r="F20" i="1563"/>
  <c r="F20" i="1562"/>
  <c r="R20" i="1562"/>
  <c r="S9" i="1562" s="1"/>
  <c r="O9" i="1562" s="1"/>
  <c r="G9" i="1562"/>
  <c r="C9" i="1562" s="1"/>
  <c r="F20" i="1561"/>
  <c r="F20" i="1560"/>
  <c r="F20" i="1559"/>
  <c r="F20" i="1558"/>
  <c r="F20" i="1557"/>
  <c r="F20" i="1556"/>
  <c r="F20" i="1555"/>
  <c r="F20" i="1554"/>
  <c r="F20" i="1553"/>
  <c r="F20" i="1552"/>
  <c r="F20" i="1551"/>
  <c r="F20" i="1550"/>
  <c r="F20" i="1549"/>
  <c r="F20" i="1548"/>
  <c r="AA56" i="1506"/>
  <c r="AA57" i="1506"/>
  <c r="AA58" i="1506"/>
  <c r="R20" i="1563" l="1"/>
  <c r="S9" i="1563" s="1"/>
  <c r="O9" i="1563" s="1"/>
  <c r="G9" i="1563"/>
  <c r="C9" i="1563" s="1"/>
  <c r="R20" i="1561"/>
  <c r="S9" i="1561" s="1"/>
  <c r="O9" i="1561" s="1"/>
  <c r="G9" i="1561"/>
  <c r="C9" i="1561" s="1"/>
  <c r="G9" i="1560"/>
  <c r="C9" i="1560" s="1"/>
  <c r="R20" i="1560"/>
  <c r="S9" i="1560" s="1"/>
  <c r="O9" i="1560" s="1"/>
  <c r="G9" i="1559"/>
  <c r="C9" i="1559" s="1"/>
  <c r="R20" i="1559"/>
  <c r="S9" i="1559" s="1"/>
  <c r="O9" i="1559" s="1"/>
  <c r="G9" i="1558"/>
  <c r="C9" i="1558" s="1"/>
  <c r="R20" i="1558"/>
  <c r="S9" i="1558" s="1"/>
  <c r="O9" i="1558" s="1"/>
  <c r="G9" i="1557"/>
  <c r="C9" i="1557" s="1"/>
  <c r="R20" i="1557"/>
  <c r="S9" i="1557" s="1"/>
  <c r="O9" i="1557" s="1"/>
  <c r="G9" i="1556"/>
  <c r="C9" i="1556" s="1"/>
  <c r="R20" i="1556"/>
  <c r="S9" i="1556" s="1"/>
  <c r="O9" i="1556" s="1"/>
  <c r="G9" i="1555"/>
  <c r="C9" i="1555" s="1"/>
  <c r="R20" i="1555"/>
  <c r="S9" i="1555" s="1"/>
  <c r="O9" i="1555" s="1"/>
  <c r="R20" i="1554"/>
  <c r="S9" i="1554" s="1"/>
  <c r="O9" i="1554" s="1"/>
  <c r="G9" i="1554"/>
  <c r="C9" i="1554" s="1"/>
  <c r="R20" i="1553"/>
  <c r="S9" i="1553" s="1"/>
  <c r="O9" i="1553" s="1"/>
  <c r="G9" i="1553"/>
  <c r="C9" i="1553" s="1"/>
  <c r="G9" i="1552"/>
  <c r="C9" i="1552" s="1"/>
  <c r="R20" i="1552"/>
  <c r="S9" i="1552" s="1"/>
  <c r="O9" i="1552" s="1"/>
  <c r="G9" i="1551"/>
  <c r="C9" i="1551" s="1"/>
  <c r="R20" i="1551"/>
  <c r="S9" i="1551" s="1"/>
  <c r="O9" i="1551" s="1"/>
  <c r="R20" i="1550"/>
  <c r="S9" i="1550" s="1"/>
  <c r="O9" i="1550" s="1"/>
  <c r="G9" i="1550"/>
  <c r="C9" i="1550" s="1"/>
  <c r="G9" i="1549"/>
  <c r="C9" i="1549" s="1"/>
  <c r="R20" i="1549"/>
  <c r="S9" i="1549" s="1"/>
  <c r="O9" i="1549" s="1"/>
  <c r="G9" i="1548"/>
  <c r="C9" i="1548" s="1"/>
  <c r="R20" i="1548"/>
  <c r="S9" i="1548" s="1"/>
  <c r="O9" i="1548" s="1"/>
  <c r="AC58" i="1506"/>
  <c r="AD58" i="1506"/>
  <c r="AB57" i="1506"/>
  <c r="AD57" i="1506"/>
  <c r="AE56" i="1506"/>
  <c r="AD56" i="1506"/>
  <c r="AC57" i="1506"/>
  <c r="AE58" i="1506"/>
  <c r="AB56" i="1506"/>
  <c r="AE57" i="1506"/>
  <c r="AC56" i="1506"/>
  <c r="AB58" i="1506"/>
  <c r="AA78" i="1506"/>
  <c r="AD78" i="1506" s="1"/>
  <c r="AA77" i="1506"/>
  <c r="AA76" i="1506"/>
  <c r="AA75" i="1506"/>
  <c r="AA74" i="1506"/>
  <c r="AA73" i="1506"/>
  <c r="AA72" i="1506"/>
  <c r="AD72" i="1506" s="1"/>
  <c r="AA71" i="1506"/>
  <c r="AA70" i="1506"/>
  <c r="AD70" i="1506" s="1"/>
  <c r="AA69" i="1506"/>
  <c r="AA68" i="1506"/>
  <c r="AA67" i="1506"/>
  <c r="AA66" i="1506"/>
  <c r="AA65" i="1506"/>
  <c r="AA64" i="1506"/>
  <c r="AA63" i="1506"/>
  <c r="AD63" i="1506" s="1"/>
  <c r="AA62" i="1506"/>
  <c r="AA61" i="1506"/>
  <c r="AA60" i="1506"/>
  <c r="AA59" i="1506"/>
  <c r="AB67" i="1506" l="1"/>
  <c r="AD67" i="1506"/>
  <c r="AE64" i="1506"/>
  <c r="AD64" i="1506"/>
  <c r="AB65" i="1506"/>
  <c r="AD65" i="1506"/>
  <c r="AE76" i="1506"/>
  <c r="AD76" i="1506"/>
  <c r="AC68" i="1506"/>
  <c r="AD68" i="1506"/>
  <c r="AE71" i="1506"/>
  <c r="AD71" i="1506"/>
  <c r="AC75" i="1506"/>
  <c r="AD75" i="1506"/>
  <c r="AB62" i="1506"/>
  <c r="AD62" i="1506"/>
  <c r="AE66" i="1506"/>
  <c r="AD66" i="1506"/>
  <c r="AE69" i="1506"/>
  <c r="AD69" i="1506"/>
  <c r="AE73" i="1506"/>
  <c r="AD73" i="1506"/>
  <c r="AE77" i="1506"/>
  <c r="AD77" i="1506"/>
  <c r="AB74" i="1506"/>
  <c r="AD74" i="1506"/>
  <c r="AE59" i="1506"/>
  <c r="AD59" i="1506"/>
  <c r="AC60" i="1506"/>
  <c r="AD60" i="1506"/>
  <c r="AE61" i="1506"/>
  <c r="AD61" i="1506"/>
  <c r="AE75" i="1506"/>
  <c r="AC65" i="1506"/>
  <c r="AB78" i="1506"/>
  <c r="AC62" i="1506"/>
  <c r="AC73" i="1506"/>
  <c r="AC77" i="1506"/>
  <c r="AB77" i="1506"/>
  <c r="AE70" i="1506"/>
  <c r="AE62" i="1506"/>
  <c r="AE65" i="1506"/>
  <c r="AE78" i="1506"/>
  <c r="AB69" i="1506"/>
  <c r="AB63" i="1506"/>
  <c r="AC69" i="1506"/>
  <c r="AE63" i="1506"/>
  <c r="AE68" i="1506"/>
  <c r="AE72" i="1506"/>
  <c r="AB70" i="1506"/>
  <c r="AE60" i="1506"/>
  <c r="AC66" i="1506"/>
  <c r="AB72" i="1506"/>
  <c r="AC72" i="1506"/>
  <c r="AB59" i="1506"/>
  <c r="AB61" i="1506"/>
  <c r="AC71" i="1506"/>
  <c r="AB76" i="1506"/>
  <c r="AC59" i="1506"/>
  <c r="AB64" i="1506"/>
  <c r="AC67" i="1506"/>
  <c r="AB71" i="1506"/>
  <c r="AC74" i="1506"/>
  <c r="AC64" i="1506"/>
  <c r="AC61" i="1506"/>
  <c r="AB66" i="1506"/>
  <c r="AE67" i="1506"/>
  <c r="AB73" i="1506"/>
  <c r="AE74" i="1506"/>
  <c r="AC76" i="1506"/>
  <c r="AB60" i="1506"/>
  <c r="AC63" i="1506"/>
  <c r="AB68" i="1506"/>
  <c r="AC70" i="1506"/>
  <c r="AB75" i="1506"/>
  <c r="AC78" i="1506"/>
  <c r="AA36" i="1506" l="1"/>
  <c r="AE36" i="1506" l="1"/>
  <c r="AD36" i="1506"/>
  <c r="AB36" i="1506"/>
  <c r="AC36" i="1506"/>
  <c r="AA35" i="1506"/>
  <c r="AA34" i="1506"/>
  <c r="AA33" i="1506"/>
  <c r="AA32" i="1506"/>
  <c r="AD32" i="1506" s="1"/>
  <c r="AA31" i="1506"/>
  <c r="AD31" i="1506" s="1"/>
  <c r="AE33" i="1506" l="1"/>
  <c r="AD33" i="1506"/>
  <c r="AB34" i="1506"/>
  <c r="AD34" i="1506"/>
  <c r="AE35" i="1506"/>
  <c r="AD35" i="1506"/>
  <c r="AE31" i="1506"/>
  <c r="AC32" i="1506"/>
  <c r="AE32" i="1506"/>
  <c r="AB35" i="1506"/>
  <c r="AC34" i="1506"/>
  <c r="AB33" i="1506"/>
  <c r="AE34" i="1506"/>
  <c r="AB31" i="1506"/>
  <c r="AC33" i="1506"/>
  <c r="AC31" i="1506"/>
  <c r="AB32" i="1506"/>
  <c r="AC35" i="1506"/>
  <c r="N2" i="1494" l="1"/>
  <c r="AA30" i="1506" l="1"/>
  <c r="AD30" i="1506" s="1"/>
  <c r="AA29" i="1506"/>
  <c r="AD29" i="1506" s="1"/>
  <c r="AA28" i="1506"/>
  <c r="AD28" i="1506" s="1"/>
  <c r="AA27" i="1506"/>
  <c r="AD27" i="1506" s="1"/>
  <c r="AA26" i="1506"/>
  <c r="AD26" i="1506" s="1"/>
  <c r="AE28" i="1506" l="1"/>
  <c r="AB28" i="1506"/>
  <c r="AC26" i="1506"/>
  <c r="AB26" i="1506"/>
  <c r="AE29" i="1506"/>
  <c r="AB29" i="1506"/>
  <c r="AE27" i="1506"/>
  <c r="AB27" i="1506"/>
  <c r="AE30" i="1506"/>
  <c r="AB30" i="1506"/>
  <c r="AC30" i="1506"/>
  <c r="AC29" i="1506"/>
  <c r="AC28" i="1506"/>
  <c r="AC27" i="1506"/>
  <c r="AE26" i="1506"/>
  <c r="AA25" i="1506" l="1"/>
  <c r="AD25" i="1506" s="1"/>
  <c r="AE25" i="1506" l="1"/>
  <c r="AB25" i="1506"/>
  <c r="AC25" i="1506"/>
  <c r="AA4" i="1506" l="1"/>
  <c r="AD4" i="1506" s="1"/>
  <c r="AC4" i="1506" l="1"/>
  <c r="AB4" i="1506"/>
  <c r="AE4" i="1506"/>
  <c r="AA2" i="1506" l="1"/>
  <c r="AD2" i="1506" s="1"/>
  <c r="AA3" i="1506"/>
  <c r="AD3" i="1506" s="1"/>
  <c r="AA5" i="1506"/>
  <c r="AD5" i="1506" s="1"/>
  <c r="AA6" i="1506"/>
  <c r="AA7" i="1506"/>
  <c r="AD7" i="1506" s="1"/>
  <c r="AA8" i="1506"/>
  <c r="AD8" i="1506" s="1"/>
  <c r="AA9" i="1506"/>
  <c r="AD9" i="1506" s="1"/>
  <c r="AA10" i="1506"/>
  <c r="AD10" i="1506" s="1"/>
  <c r="AA11" i="1506"/>
  <c r="AD11" i="1506" s="1"/>
  <c r="AA12" i="1506"/>
  <c r="AD12" i="1506" s="1"/>
  <c r="AA13" i="1506"/>
  <c r="AD13" i="1506" s="1"/>
  <c r="AA14" i="1506"/>
  <c r="AD14" i="1506" s="1"/>
  <c r="AA18" i="1506"/>
  <c r="AD18" i="1506" s="1"/>
  <c r="AA19" i="1506"/>
  <c r="AD19" i="1506" s="1"/>
  <c r="AA20" i="1506"/>
  <c r="AD20" i="1506" s="1"/>
  <c r="AA21" i="1506"/>
  <c r="AD21" i="1506" s="1"/>
  <c r="AA22" i="1506"/>
  <c r="AD22" i="1506" s="1"/>
  <c r="AA23" i="1506"/>
  <c r="AD23" i="1506" s="1"/>
  <c r="AA24" i="1506"/>
  <c r="AD24" i="1506" s="1"/>
  <c r="AB14" i="1506" l="1"/>
  <c r="AB9" i="1506"/>
  <c r="AB20" i="1506"/>
  <c r="AB12" i="1506"/>
  <c r="AB8" i="1506"/>
  <c r="AB5" i="1506"/>
  <c r="AB2" i="1506"/>
  <c r="AB24" i="1506"/>
  <c r="AB19" i="1506"/>
  <c r="AB11" i="1506"/>
  <c r="AB7" i="1506"/>
  <c r="AB3" i="1506"/>
  <c r="AB21" i="1506"/>
  <c r="AB13" i="1506"/>
  <c r="AB23" i="1506"/>
  <c r="AB22" i="1506"/>
  <c r="AB18" i="1506"/>
  <c r="AB10" i="1506"/>
  <c r="AB6" i="1506"/>
  <c r="AC23" i="1506"/>
  <c r="AC19" i="1506"/>
  <c r="AC11" i="1506"/>
  <c r="AC7" i="1506"/>
  <c r="AC10" i="1506"/>
  <c r="AC21" i="1506"/>
  <c r="AC13" i="1506"/>
  <c r="AC9" i="1506"/>
  <c r="AC24" i="1506"/>
  <c r="AC20" i="1506"/>
  <c r="AC12" i="1506"/>
  <c r="AC8" i="1506"/>
  <c r="AC5" i="1506"/>
  <c r="AE22" i="1506"/>
  <c r="AC22" i="1506"/>
  <c r="AC14" i="1506"/>
  <c r="AE14" i="1506"/>
  <c r="AE6" i="1506"/>
  <c r="AC6" i="1506"/>
  <c r="AC3" i="1506"/>
  <c r="AE3" i="1506"/>
  <c r="AE23" i="1506"/>
  <c r="AE19" i="1506"/>
  <c r="AE11" i="1506"/>
  <c r="AC18" i="1506"/>
  <c r="AE18" i="1506"/>
  <c r="AE10" i="1506"/>
  <c r="AC2" i="1506"/>
  <c r="AE2" i="1506"/>
  <c r="AE7" i="1506"/>
  <c r="AE21" i="1506"/>
  <c r="AE13" i="1506"/>
  <c r="AE9" i="1506"/>
  <c r="AE24" i="1506"/>
  <c r="AE20" i="1506"/>
  <c r="AE12" i="1506"/>
  <c r="AE8" i="1506"/>
  <c r="AE5" i="1506"/>
  <c r="R22" i="1494"/>
  <c r="N22" i="1494"/>
  <c r="S22" i="1494"/>
  <c r="O22" i="1494"/>
  <c r="F19" i="1494"/>
  <c r="R19" i="1494" s="1"/>
  <c r="U14" i="1494"/>
  <c r="S14" i="1494"/>
  <c r="R14" i="1494"/>
  <c r="U13" i="1494"/>
  <c r="S13" i="1494"/>
  <c r="R13" i="1494"/>
  <c r="Q13" i="1494"/>
  <c r="O13" i="1494"/>
  <c r="N13" i="1494"/>
  <c r="S12" i="1494"/>
  <c r="U12" i="1494" s="1"/>
  <c r="R12" i="1494"/>
  <c r="Q12" i="1494"/>
  <c r="O12" i="1494"/>
  <c r="N12" i="1494"/>
  <c r="R11" i="1494"/>
  <c r="O11" i="1494"/>
  <c r="N11" i="1494"/>
  <c r="G11" i="1494"/>
  <c r="I11" i="1494" s="1"/>
  <c r="U11" i="1494" s="1"/>
  <c r="R6" i="1494"/>
  <c r="N6" i="1494"/>
  <c r="N5" i="1494"/>
  <c r="R4" i="1494"/>
  <c r="G19" i="1494" l="1"/>
  <c r="S19" i="1494" s="1"/>
  <c r="I19" i="1494"/>
  <c r="U19" i="1494" s="1"/>
  <c r="S11" i="1494"/>
  <c r="F20" i="1494" l="1"/>
  <c r="G9" i="1494" l="1"/>
  <c r="C9" i="1494" s="1"/>
  <c r="R20" i="1494"/>
  <c r="S9" i="1494" s="1"/>
  <c r="O9" i="149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tc={2CF196DA-5111-4C43-B566-EA6F75EF33D2}</author>
    <author>tc={08F0DFF2-8DBC-4A88-AF25-22910D619C3A}</author>
    <author>tc={FF3DC0EB-3489-4856-A8FA-B2BA5D34F17E}</author>
  </authors>
  <commentList>
    <comment ref="H36" authorId="0" shapeId="0" xr:uid="{2CF196DA-5111-4C43-B566-EA6F75EF33D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PN Conversion
0247-08710-&gt;0247-09881</t>
      </text>
    </comment>
    <comment ref="H43" authorId="1" shapeId="0" xr:uid="{08F0DFF2-8DBC-4A88-AF25-22910D619C3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PN Conversion
0247-08710-&gt;0247-09881</t>
      </text>
    </comment>
    <comment ref="H46" authorId="2" shapeId="0" xr:uid="{FF3DC0EB-3489-4856-A8FA-B2BA5D34F17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PN Conversion
0247-08710-&gt;0247-09881</t>
      </text>
    </comment>
  </commentList>
</comments>
</file>

<file path=xl/sharedStrings.xml><?xml version="1.0" encoding="utf-8"?>
<sst xmlns="http://schemas.openxmlformats.org/spreadsheetml/2006/main" count="1169" uniqueCount="67">
  <si>
    <r>
      <t xml:space="preserve">거   래   명   세   서 </t>
    </r>
    <r>
      <rPr>
        <b/>
        <u/>
        <sz val="12"/>
        <color theme="1" tint="0.499984740745262"/>
        <rFont val="맑은 고딕"/>
        <family val="3"/>
        <charset val="129"/>
        <scheme val="minor"/>
      </rPr>
      <t>(공급자용)</t>
    </r>
    <phoneticPr fontId="6" type="noConversion"/>
  </si>
  <si>
    <r>
      <t>거   래   명   세   서</t>
    </r>
    <r>
      <rPr>
        <b/>
        <u/>
        <sz val="14"/>
        <rFont val="맑은 고딕"/>
        <family val="3"/>
        <charset val="129"/>
        <scheme val="minor"/>
      </rPr>
      <t xml:space="preserve"> </t>
    </r>
    <r>
      <rPr>
        <b/>
        <u/>
        <sz val="12"/>
        <color theme="1" tint="0.499984740745262"/>
        <rFont val="맑은 고딕"/>
        <family val="3"/>
        <charset val="129"/>
        <scheme val="minor"/>
      </rPr>
      <t>(공급받는자용)</t>
    </r>
    <phoneticPr fontId="6" type="noConversion"/>
  </si>
  <si>
    <t>등록번호</t>
    <phoneticPr fontId="6" type="noConversion"/>
  </si>
  <si>
    <t>1 2 4 - 8 6 - 3 3 8 9 2</t>
    <phoneticPr fontId="6" type="noConversion"/>
  </si>
  <si>
    <t>상 호</t>
    <phoneticPr fontId="6" type="noConversion"/>
  </si>
  <si>
    <t>아이원스㈜</t>
    <phoneticPr fontId="6" type="noConversion"/>
  </si>
  <si>
    <t>성 명</t>
    <phoneticPr fontId="6" type="noConversion"/>
  </si>
  <si>
    <t>귀    하</t>
    <phoneticPr fontId="6" type="noConversion"/>
  </si>
  <si>
    <t>사업장</t>
    <phoneticPr fontId="6" type="noConversion"/>
  </si>
  <si>
    <t>경기도 안성시 고삼면 안성대로 2061</t>
    <phoneticPr fontId="6" type="noConversion"/>
  </si>
  <si>
    <t>아래와 같이 계산합니다.</t>
    <phoneticPr fontId="6" type="noConversion"/>
  </si>
  <si>
    <t xml:space="preserve"> 업 태</t>
    <phoneticPr fontId="6" type="noConversion"/>
  </si>
  <si>
    <t>제   조</t>
    <phoneticPr fontId="6" type="noConversion"/>
  </si>
  <si>
    <t>종 목</t>
    <phoneticPr fontId="6" type="noConversion"/>
  </si>
  <si>
    <t>반도체 부품 가공</t>
    <phoneticPr fontId="6" type="noConversion"/>
  </si>
  <si>
    <t>업 태</t>
    <phoneticPr fontId="6" type="noConversion"/>
  </si>
  <si>
    <t>합 계 금 액  :일금</t>
    <phoneticPr fontId="6" type="noConversion"/>
  </si>
  <si>
    <t>)</t>
    <phoneticPr fontId="6" type="noConversion"/>
  </si>
  <si>
    <t>품       명</t>
    <phoneticPr fontId="6" type="noConversion"/>
  </si>
  <si>
    <t>규    격</t>
    <phoneticPr fontId="6" type="noConversion"/>
  </si>
  <si>
    <t>수량</t>
    <phoneticPr fontId="6" type="noConversion"/>
  </si>
  <si>
    <t>단     가</t>
    <phoneticPr fontId="6" type="noConversion"/>
  </si>
  <si>
    <t>공 급 가 액</t>
    <phoneticPr fontId="6" type="noConversion"/>
  </si>
  <si>
    <t>세    액</t>
    <phoneticPr fontId="6" type="noConversion"/>
  </si>
  <si>
    <t>계</t>
    <phoneticPr fontId="6" type="noConversion"/>
  </si>
  <si>
    <t>전 잔 금</t>
    <phoneticPr fontId="6" type="noConversion"/>
  </si>
  <si>
    <t>합 계</t>
    <phoneticPr fontId="6" type="noConversion"/>
  </si>
  <si>
    <t>입     금</t>
    <phoneticPr fontId="6" type="noConversion"/>
  </si>
  <si>
    <t>잔 금</t>
    <phoneticPr fontId="6" type="noConversion"/>
  </si>
  <si>
    <t>인수자</t>
    <phoneticPr fontId="6" type="noConversion"/>
  </si>
  <si>
    <t>(PO :</t>
    <phoneticPr fontId="17" type="noConversion"/>
  </si>
  <si>
    <t>)</t>
    <phoneticPr fontId="3" type="noConversion"/>
  </si>
  <si>
    <t>PO</t>
  </si>
  <si>
    <t>cost</t>
    <phoneticPr fontId="3" type="noConversion"/>
  </si>
  <si>
    <t>po</t>
    <phoneticPr fontId="3" type="noConversion"/>
  </si>
  <si>
    <t>date</t>
    <phoneticPr fontId="3" type="noConversion"/>
  </si>
  <si>
    <t xml:space="preserve">    박   인   래</t>
    <phoneticPr fontId="6" type="noConversion"/>
  </si>
  <si>
    <t>어플라이드 머티어리얼즈 코리아㈜</t>
    <phoneticPr fontId="6" type="noConversion"/>
  </si>
  <si>
    <t>No.</t>
  </si>
  <si>
    <t>Customer</t>
  </si>
  <si>
    <t>Fab</t>
  </si>
  <si>
    <t>Tool</t>
    <phoneticPr fontId="17" type="noConversion"/>
  </si>
  <si>
    <t>SS P/N</t>
  </si>
  <si>
    <t>SS S/N</t>
  </si>
  <si>
    <t>0247#</t>
    <phoneticPr fontId="27" type="noConversion"/>
  </si>
  <si>
    <t>Amount
[USD]</t>
    <phoneticPr fontId="3" type="noConversion"/>
  </si>
  <si>
    <t>SERVICE KIT, PPC, SOLID SEAL J-TYPE SAFE</t>
  </si>
  <si>
    <t>0247#</t>
  </si>
  <si>
    <t>0247#</t>
    <phoneticPr fontId="3" type="noConversion"/>
  </si>
  <si>
    <t>kit id</t>
    <phoneticPr fontId="3" type="noConversion"/>
  </si>
  <si>
    <t>Shipment No</t>
    <phoneticPr fontId="3" type="noConversion"/>
  </si>
  <si>
    <t>Shipment No.</t>
    <phoneticPr fontId="3" type="noConversion"/>
  </si>
  <si>
    <t>PO Price detail</t>
    <phoneticPr fontId="32" type="noConversion"/>
  </si>
  <si>
    <t>A0563802</t>
  </si>
  <si>
    <t>0247-07965</t>
  </si>
  <si>
    <t>A0506293</t>
  </si>
  <si>
    <t>0247-08810</t>
  </si>
  <si>
    <t>A0496495</t>
  </si>
  <si>
    <t>0247-06824</t>
  </si>
  <si>
    <t>0247-05612</t>
  </si>
  <si>
    <t>A0503421</t>
  </si>
  <si>
    <t>0247-04585</t>
  </si>
  <si>
    <t>0247-07965</t>
    <phoneticPr fontId="3" type="noConversion"/>
  </si>
  <si>
    <t>0247-08810</t>
    <phoneticPr fontId="3" type="noConversion"/>
  </si>
  <si>
    <t>0247-06824</t>
    <phoneticPr fontId="3" type="noConversion"/>
  </si>
  <si>
    <t>0247-05612</t>
    <phoneticPr fontId="3" type="noConversion"/>
  </si>
  <si>
    <t>0247-04585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</si>
</sst>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-* #,##0_-;\-* #,##0_-;_-* &quot;-&quot;_-;_-@_-"/>
    <numFmt numFmtId="44" formatCode="_-&quot;₩&quot;* #,##0.00_-;\-&quot;₩&quot;* #,##0.00_-;_-&quot;₩&quot;* &quot;-&quot;??_-;_-@_-"/>
    <numFmt numFmtId="26" formatCode="\$#,##0.00_);[Red]\(\$#,##0.00\)"/>
    <numFmt numFmtId="176" formatCode="yyyy&quot;년&quot;\ m&quot;월&quot;\ d&quot;일&quot;;@"/>
    <numFmt numFmtId="177" formatCode="#,##0_ ;[Red]\-#,##0\ "/>
    <numFmt numFmtId="178" formatCode="#,##0.0_ ;[Red]\-#,##0.0\ "/>
    <numFmt numFmtId="179" formatCode="_ * #,##0_ ;_ * \-#,##0_ ;_ * &quot;-&quot;_ ;_ @_ "/>
    <numFmt numFmtId="180" formatCode="_ * #,##0.00_ ;_ * \-#,##0.00_ ;_ * &quot;-&quot;??_ ;_ @_ "/>
    <numFmt numFmtId="181" formatCode="yyyy&quot;년 &quot;mm&quot;월 &quot;dd&quot;일&quot;;@"/>
    <numFmt numFmtId="182" formatCode="&quot;₩&quot;\ #,###&quot;/$&quot;"/>
    <numFmt numFmtId="183" formatCode="[$-409]dd\/mmm\/yy;@"/>
  </numFmts>
  <fonts count="45">
    <font>
      <sz val="11"/>
      <color theme="1"/>
      <name val="맑은 고딕"/>
      <family val="2"/>
      <charset val="129"/>
      <scheme val="minor"/>
    </font>
    <font>
      <sz val="11"/>
      <name val="바탕체"/>
      <family val="1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u/>
      <sz val="18"/>
      <name val="맑은 고딕"/>
      <family val="3"/>
      <charset val="129"/>
      <scheme val="minor"/>
    </font>
    <font>
      <b/>
      <u/>
      <sz val="12"/>
      <color theme="1" tint="0.499984740745262"/>
      <name val="맑은 고딕"/>
      <family val="3"/>
      <charset val="129"/>
      <scheme val="minor"/>
    </font>
    <font>
      <sz val="8"/>
      <name val="바탕체"/>
      <family val="1"/>
      <charset val="129"/>
    </font>
    <font>
      <u val="double"/>
      <sz val="18"/>
      <name val="맑은 고딕"/>
      <family val="3"/>
      <charset val="129"/>
      <scheme val="minor"/>
    </font>
    <font>
      <b/>
      <u/>
      <sz val="14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name val="맑은 고딕"/>
      <family val="3"/>
      <charset val="129"/>
      <scheme val="minor"/>
    </font>
    <font>
      <sz val="10"/>
      <name val="Arial"/>
      <family val="2"/>
    </font>
    <font>
      <sz val="8"/>
      <name val="돋움"/>
      <family val="3"/>
      <charset val="129"/>
    </font>
    <font>
      <b/>
      <sz val="12"/>
      <name val="Arial"/>
      <family val="2"/>
    </font>
    <font>
      <sz val="12"/>
      <name val="바탕체"/>
      <family val="1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rgb="FF0070C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b/>
      <sz val="10"/>
      <color rgb="FF0070C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u/>
      <sz val="11"/>
      <color theme="0" tint="-0.249977111117893"/>
      <name val="맑은 고딕"/>
      <family val="3"/>
      <charset val="129"/>
      <scheme val="minor"/>
    </font>
    <font>
      <sz val="10"/>
      <color theme="1"/>
      <name val="Arial"/>
      <family val="2"/>
    </font>
    <font>
      <sz val="9"/>
      <name val="맑은 고딕"/>
      <family val="2"/>
      <charset val="136"/>
      <scheme val="minor"/>
    </font>
    <font>
      <sz val="11"/>
      <color rgb="FF000000"/>
      <name val="맑은 고딕"/>
      <family val="3"/>
      <charset val="129"/>
    </font>
    <font>
      <sz val="12"/>
      <color rgb="FF000000"/>
      <name val="맑은 고딕"/>
      <family val="3"/>
      <charset val="129"/>
    </font>
    <font>
      <sz val="10"/>
      <color rgb="FF000000"/>
      <name val="Arial"/>
      <family val="2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36"/>
      <scheme val="minor"/>
    </font>
    <font>
      <sz val="11"/>
      <name val="Calibri"/>
      <family val="2"/>
    </font>
    <font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11"/>
      <color theme="1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sz val="11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ashDotDot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</borders>
  <cellStyleXfs count="25">
    <xf numFmtId="0" fontId="0" fillId="0" borderId="0">
      <alignment vertical="center"/>
    </xf>
    <xf numFmtId="0" fontId="1" fillId="0" borderId="0"/>
    <xf numFmtId="41" fontId="14" fillId="0" borderId="0" applyFont="0" applyFill="0" applyBorder="0" applyAlignment="0" applyProtection="0">
      <alignment vertical="center"/>
    </xf>
    <xf numFmtId="0" fontId="16" fillId="0" borderId="0"/>
    <xf numFmtId="0" fontId="16" fillId="0" borderId="0"/>
    <xf numFmtId="0" fontId="18" fillId="0" borderId="9" applyNumberFormat="0" applyAlignment="0" applyProtection="0">
      <alignment horizontal="left" vertical="center"/>
    </xf>
    <xf numFmtId="0" fontId="18" fillId="0" borderId="14">
      <alignment horizontal="left" vertical="center"/>
    </xf>
    <xf numFmtId="179" fontId="19" fillId="0" borderId="0" applyFont="0" applyFill="0" applyBorder="0" applyAlignment="0" applyProtection="0"/>
    <xf numFmtId="180" fontId="19" fillId="0" borderId="0" applyFont="0" applyFill="0" applyBorder="0" applyAlignment="0" applyProtection="0"/>
    <xf numFmtId="0" fontId="14" fillId="0" borderId="0"/>
    <xf numFmtId="41" fontId="20" fillId="0" borderId="0" applyFont="0" applyFill="0" applyBorder="0" applyAlignment="0" applyProtection="0">
      <alignment vertical="center"/>
    </xf>
    <xf numFmtId="0" fontId="14" fillId="0" borderId="0"/>
    <xf numFmtId="0" fontId="33" fillId="0" borderId="0">
      <alignment vertical="center"/>
    </xf>
    <xf numFmtId="44" fontId="33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183" fontId="33" fillId="0" borderId="0"/>
    <xf numFmtId="0" fontId="35" fillId="0" borderId="0">
      <alignment vertical="top"/>
    </xf>
    <xf numFmtId="0" fontId="36" fillId="0" borderId="0"/>
    <xf numFmtId="0" fontId="37" fillId="0" borderId="0">
      <alignment vertical="center"/>
    </xf>
    <xf numFmtId="0" fontId="33" fillId="0" borderId="0">
      <alignment vertical="center"/>
    </xf>
    <xf numFmtId="0" fontId="38" fillId="0" borderId="0"/>
    <xf numFmtId="41" fontId="20" fillId="0" borderId="0" applyFont="0" applyFill="0" applyBorder="0" applyAlignment="0" applyProtection="0">
      <alignment vertical="center"/>
    </xf>
    <xf numFmtId="0" fontId="36" fillId="0" borderId="0"/>
    <xf numFmtId="0" fontId="43" fillId="0" borderId="0" applyNumberFormat="0" applyFill="0" applyBorder="0" applyAlignment="0" applyProtection="0">
      <alignment vertical="center"/>
    </xf>
  </cellStyleXfs>
  <cellXfs count="165">
    <xf numFmtId="0" fontId="0" fillId="0" borderId="0" xfId="0">
      <alignment vertical="center"/>
    </xf>
    <xf numFmtId="0" fontId="2" fillId="2" borderId="0" xfId="1" applyFont="1" applyFill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0" fontId="2" fillId="2" borderId="6" xfId="1" applyFont="1" applyFill="1" applyBorder="1" applyAlignment="1">
      <alignment horizontal="center" vertical="center"/>
    </xf>
    <xf numFmtId="0" fontId="7" fillId="2" borderId="5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center" vertical="center"/>
    </xf>
    <xf numFmtId="0" fontId="11" fillId="2" borderId="5" xfId="1" applyFont="1" applyFill="1" applyBorder="1" applyAlignment="1">
      <alignment horizontal="center" vertical="center"/>
    </xf>
    <xf numFmtId="0" fontId="11" fillId="2" borderId="4" xfId="1" applyFont="1" applyFill="1" applyBorder="1" applyAlignment="1">
      <alignment horizontal="center" vertical="center"/>
    </xf>
    <xf numFmtId="0" fontId="12" fillId="2" borderId="12" xfId="1" applyFont="1" applyFill="1" applyBorder="1" applyAlignment="1">
      <alignment horizontal="center" vertical="center"/>
    </xf>
    <xf numFmtId="0" fontId="9" fillId="2" borderId="13" xfId="1" applyFont="1" applyFill="1" applyBorder="1" applyAlignment="1">
      <alignment horizontal="center" vertical="center"/>
    </xf>
    <xf numFmtId="0" fontId="9" fillId="2" borderId="5" xfId="1" applyFont="1" applyFill="1" applyBorder="1" applyAlignment="1">
      <alignment horizontal="center" vertical="center"/>
    </xf>
    <xf numFmtId="0" fontId="9" fillId="2" borderId="4" xfId="1" applyFont="1" applyFill="1" applyBorder="1" applyAlignment="1">
      <alignment horizontal="center" vertical="center"/>
    </xf>
    <xf numFmtId="0" fontId="2" fillId="2" borderId="6" xfId="1" applyFont="1" applyFill="1" applyBorder="1" applyAlignment="1">
      <alignment horizontal="right" vertical="center"/>
    </xf>
    <xf numFmtId="0" fontId="13" fillId="2" borderId="14" xfId="1" applyFont="1" applyFill="1" applyBorder="1" applyAlignment="1">
      <alignment horizontal="center" vertical="center" wrapText="1"/>
    </xf>
    <xf numFmtId="0" fontId="2" fillId="2" borderId="15" xfId="1" applyFont="1" applyFill="1" applyBorder="1" applyAlignment="1">
      <alignment horizontal="center"/>
    </xf>
    <xf numFmtId="0" fontId="9" fillId="2" borderId="5" xfId="1" applyFont="1" applyFill="1" applyBorder="1" applyAlignment="1">
      <alignment horizontal="left" vertical="center"/>
    </xf>
    <xf numFmtId="0" fontId="9" fillId="2" borderId="4" xfId="1" applyFont="1" applyFill="1" applyBorder="1" applyAlignment="1">
      <alignment horizontal="left" vertical="center"/>
    </xf>
    <xf numFmtId="0" fontId="2" fillId="2" borderId="0" xfId="1" applyFont="1" applyFill="1" applyAlignment="1">
      <alignment horizontal="left" vertical="center"/>
    </xf>
    <xf numFmtId="0" fontId="2" fillId="2" borderId="10" xfId="1" applyFont="1" applyFill="1" applyBorder="1" applyAlignment="1">
      <alignment horizontal="center" vertical="center"/>
    </xf>
    <xf numFmtId="0" fontId="12" fillId="2" borderId="6" xfId="1" applyFont="1" applyFill="1" applyBorder="1" applyAlignment="1">
      <alignment horizontal="center" vertical="center"/>
    </xf>
    <xf numFmtId="0" fontId="13" fillId="2" borderId="14" xfId="1" applyFont="1" applyFill="1" applyBorder="1" applyAlignment="1">
      <alignment horizontal="right" vertical="center"/>
    </xf>
    <xf numFmtId="0" fontId="13" fillId="2" borderId="14" xfId="1" applyFont="1" applyFill="1" applyBorder="1" applyAlignment="1">
      <alignment vertical="center"/>
    </xf>
    <xf numFmtId="0" fontId="13" fillId="2" borderId="5" xfId="1" applyFont="1" applyFill="1" applyBorder="1" applyAlignment="1">
      <alignment horizontal="center" vertical="center"/>
    </xf>
    <xf numFmtId="0" fontId="13" fillId="2" borderId="4" xfId="1" applyFont="1" applyFill="1" applyBorder="1" applyAlignment="1">
      <alignment horizontal="center" vertical="center"/>
    </xf>
    <xf numFmtId="0" fontId="9" fillId="2" borderId="6" xfId="1" applyFont="1" applyFill="1" applyBorder="1" applyAlignment="1">
      <alignment horizontal="center" vertical="center"/>
    </xf>
    <xf numFmtId="0" fontId="13" fillId="2" borderId="17" xfId="1" applyFont="1" applyFill="1" applyBorder="1" applyAlignment="1">
      <alignment horizontal="right" vertical="center"/>
    </xf>
    <xf numFmtId="0" fontId="15" fillId="2" borderId="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2" fillId="2" borderId="18" xfId="1" applyFont="1" applyFill="1" applyBorder="1" applyAlignment="1">
      <alignment horizontal="center" vertical="center"/>
    </xf>
    <xf numFmtId="0" fontId="12" fillId="2" borderId="5" xfId="1" applyFont="1" applyFill="1" applyBorder="1" applyAlignment="1">
      <alignment horizontal="center" vertical="center"/>
    </xf>
    <xf numFmtId="0" fontId="9" fillId="2" borderId="22" xfId="3" applyFont="1" applyFill="1" applyBorder="1" applyAlignment="1">
      <alignment horizontal="left" vertical="center" wrapText="1" indent="1" shrinkToFit="1"/>
    </xf>
    <xf numFmtId="177" fontId="12" fillId="2" borderId="24" xfId="3" applyNumberFormat="1" applyFont="1" applyFill="1" applyBorder="1" applyAlignment="1">
      <alignment horizontal="center" vertical="center" shrinkToFit="1"/>
    </xf>
    <xf numFmtId="177" fontId="12" fillId="2" borderId="24" xfId="2" applyNumberFormat="1" applyFont="1" applyFill="1" applyBorder="1" applyAlignment="1">
      <alignment horizontal="right" vertical="center" shrinkToFit="1"/>
    </xf>
    <xf numFmtId="41" fontId="12" fillId="2" borderId="5" xfId="2" applyFont="1" applyFill="1" applyBorder="1" applyAlignment="1">
      <alignment horizontal="center" vertical="center"/>
    </xf>
    <xf numFmtId="0" fontId="9" fillId="2" borderId="25" xfId="3" applyFont="1" applyFill="1" applyBorder="1" applyAlignment="1">
      <alignment horizontal="left" vertical="center" wrapText="1" indent="1" shrinkToFit="1"/>
    </xf>
    <xf numFmtId="177" fontId="12" fillId="2" borderId="26" xfId="3" applyNumberFormat="1" applyFont="1" applyFill="1" applyBorder="1" applyAlignment="1">
      <alignment horizontal="center" vertical="center" shrinkToFit="1"/>
    </xf>
    <xf numFmtId="0" fontId="12" fillId="2" borderId="25" xfId="3" applyFont="1" applyFill="1" applyBorder="1" applyAlignment="1">
      <alignment horizontal="left" vertical="center" wrapText="1" shrinkToFit="1"/>
    </xf>
    <xf numFmtId="177" fontId="12" fillId="2" borderId="26" xfId="2" applyNumberFormat="1" applyFont="1" applyFill="1" applyBorder="1" applyAlignment="1">
      <alignment horizontal="right" vertical="center" shrinkToFit="1"/>
    </xf>
    <xf numFmtId="178" fontId="12" fillId="2" borderId="26" xfId="3" applyNumberFormat="1" applyFont="1" applyFill="1" applyBorder="1" applyAlignment="1">
      <alignment horizontal="center" vertical="center" shrinkToFit="1"/>
    </xf>
    <xf numFmtId="0" fontId="12" fillId="2" borderId="26" xfId="1" applyFont="1" applyFill="1" applyBorder="1" applyAlignment="1">
      <alignment horizontal="center" vertical="center"/>
    </xf>
    <xf numFmtId="0" fontId="12" fillId="2" borderId="25" xfId="1" applyFont="1" applyFill="1" applyBorder="1" applyAlignment="1">
      <alignment horizontal="left" vertical="center" wrapText="1" shrinkToFit="1"/>
    </xf>
    <xf numFmtId="0" fontId="15" fillId="2" borderId="31" xfId="1" applyFont="1" applyFill="1" applyBorder="1" applyAlignment="1">
      <alignment horizontal="center" vertical="center"/>
    </xf>
    <xf numFmtId="41" fontId="12" fillId="2" borderId="5" xfId="1" applyNumberFormat="1" applyFont="1" applyFill="1" applyBorder="1" applyAlignment="1">
      <alignment horizontal="center" vertical="center"/>
    </xf>
    <xf numFmtId="41" fontId="15" fillId="2" borderId="5" xfId="2" applyFont="1" applyFill="1" applyBorder="1" applyAlignment="1">
      <alignment horizontal="center" vertical="center"/>
    </xf>
    <xf numFmtId="0" fontId="12" fillId="2" borderId="31" xfId="1" applyFont="1" applyFill="1" applyBorder="1" applyAlignment="1">
      <alignment horizontal="center" vertical="center"/>
    </xf>
    <xf numFmtId="0" fontId="12" fillId="2" borderId="4" xfId="1" applyFont="1" applyFill="1" applyBorder="1" applyAlignment="1">
      <alignment horizontal="center" vertical="center"/>
    </xf>
    <xf numFmtId="0" fontId="2" fillId="2" borderId="32" xfId="1" applyFont="1" applyFill="1" applyBorder="1" applyAlignment="1">
      <alignment horizontal="center" vertical="center"/>
    </xf>
    <xf numFmtId="0" fontId="2" fillId="2" borderId="33" xfId="1" applyFont="1" applyFill="1" applyBorder="1" applyAlignment="1">
      <alignment horizontal="center" vertical="center"/>
    </xf>
    <xf numFmtId="0" fontId="2" fillId="2" borderId="14" xfId="1" applyFont="1" applyFill="1" applyBorder="1" applyAlignment="1">
      <alignment vertical="center" wrapText="1"/>
    </xf>
    <xf numFmtId="0" fontId="2" fillId="2" borderId="14" xfId="1" applyFont="1" applyFill="1" applyBorder="1" applyAlignment="1">
      <alignment horizontal="right" vertical="center" wrapText="1"/>
    </xf>
    <xf numFmtId="177" fontId="12" fillId="2" borderId="26" xfId="2" applyNumberFormat="1" applyFont="1" applyFill="1" applyBorder="1" applyAlignment="1">
      <alignment horizontal="right" vertical="center"/>
    </xf>
    <xf numFmtId="0" fontId="12" fillId="2" borderId="16" xfId="1" applyFont="1" applyFill="1" applyBorder="1" applyAlignment="1">
      <alignment horizontal="center" vertical="center"/>
    </xf>
    <xf numFmtId="0" fontId="13" fillId="2" borderId="16" xfId="1" applyFont="1" applyFill="1" applyBorder="1" applyAlignment="1">
      <alignment horizontal="center" vertical="center"/>
    </xf>
    <xf numFmtId="0" fontId="13" fillId="3" borderId="19" xfId="1" applyFont="1" applyFill="1" applyBorder="1" applyAlignment="1">
      <alignment horizontal="center" vertical="center"/>
    </xf>
    <xf numFmtId="0" fontId="13" fillId="3" borderId="21" xfId="1" applyFont="1" applyFill="1" applyBorder="1" applyAlignment="1">
      <alignment horizontal="center" vertical="center"/>
    </xf>
    <xf numFmtId="0" fontId="2" fillId="2" borderId="0" xfId="1" quotePrefix="1" applyFont="1" applyFill="1" applyAlignment="1">
      <alignment horizontal="left" vertical="center"/>
    </xf>
    <xf numFmtId="176" fontId="2" fillId="2" borderId="11" xfId="1" applyNumberFormat="1" applyFont="1" applyFill="1" applyBorder="1" applyAlignment="1">
      <alignment vertical="center"/>
    </xf>
    <xf numFmtId="176" fontId="2" fillId="2" borderId="10" xfId="1" applyNumberFormat="1" applyFont="1" applyFill="1" applyBorder="1" applyAlignment="1">
      <alignment horizontal="right" vertical="center"/>
    </xf>
    <xf numFmtId="176" fontId="2" fillId="2" borderId="11" xfId="1" applyNumberFormat="1" applyFont="1" applyFill="1" applyBorder="1" applyAlignment="1">
      <alignment horizontal="right" vertical="center"/>
    </xf>
    <xf numFmtId="177" fontId="12" fillId="2" borderId="24" xfId="2" applyNumberFormat="1" applyFont="1" applyFill="1" applyBorder="1" applyAlignment="1">
      <alignment horizontal="right" vertical="center"/>
    </xf>
    <xf numFmtId="41" fontId="12" fillId="2" borderId="24" xfId="2" applyFont="1" applyFill="1" applyBorder="1" applyAlignment="1">
      <alignment horizontal="right" vertical="center"/>
    </xf>
    <xf numFmtId="41" fontId="12" fillId="2" borderId="5" xfId="2" applyFont="1" applyFill="1" applyBorder="1" applyAlignment="1">
      <alignment horizontal="right" vertical="center"/>
    </xf>
    <xf numFmtId="41" fontId="12" fillId="2" borderId="4" xfId="2" applyFont="1" applyFill="1" applyBorder="1" applyAlignment="1">
      <alignment horizontal="right" vertical="center"/>
    </xf>
    <xf numFmtId="0" fontId="12" fillId="2" borderId="6" xfId="1" applyFont="1" applyFill="1" applyBorder="1" applyAlignment="1">
      <alignment horizontal="right" vertical="center"/>
    </xf>
    <xf numFmtId="177" fontId="12" fillId="2" borderId="24" xfId="3" applyNumberFormat="1" applyFont="1" applyFill="1" applyBorder="1" applyAlignment="1">
      <alignment horizontal="right" vertical="center" shrinkToFit="1"/>
    </xf>
    <xf numFmtId="0" fontId="9" fillId="2" borderId="26" xfId="3" applyFont="1" applyFill="1" applyBorder="1" applyAlignment="1">
      <alignment horizontal="right" vertical="center" wrapText="1" indent="1" shrinkToFit="1"/>
    </xf>
    <xf numFmtId="177" fontId="12" fillId="2" borderId="26" xfId="3" applyNumberFormat="1" applyFont="1" applyFill="1" applyBorder="1" applyAlignment="1">
      <alignment horizontal="right" vertical="center" shrinkToFit="1"/>
    </xf>
    <xf numFmtId="0" fontId="12" fillId="2" borderId="26" xfId="3" applyFont="1" applyFill="1" applyBorder="1" applyAlignment="1">
      <alignment horizontal="right" vertical="center" wrapText="1" shrinkToFit="1"/>
    </xf>
    <xf numFmtId="178" fontId="12" fillId="2" borderId="26" xfId="3" applyNumberFormat="1" applyFont="1" applyFill="1" applyBorder="1" applyAlignment="1">
      <alignment horizontal="right" vertical="center" shrinkToFit="1"/>
    </xf>
    <xf numFmtId="0" fontId="12" fillId="2" borderId="26" xfId="1" applyFont="1" applyFill="1" applyBorder="1" applyAlignment="1">
      <alignment horizontal="right" vertical="center"/>
    </xf>
    <xf numFmtId="0" fontId="12" fillId="2" borderId="26" xfId="1" applyFont="1" applyFill="1" applyBorder="1" applyAlignment="1">
      <alignment horizontal="right" vertical="center" wrapText="1" shrinkToFit="1"/>
    </xf>
    <xf numFmtId="41" fontId="15" fillId="2" borderId="31" xfId="2" applyFont="1" applyFill="1" applyBorder="1" applyAlignment="1">
      <alignment horizontal="right" vertical="center"/>
    </xf>
    <xf numFmtId="41" fontId="15" fillId="2" borderId="31" xfId="1" applyNumberFormat="1" applyFont="1" applyFill="1" applyBorder="1" applyAlignment="1">
      <alignment horizontal="right" vertical="center"/>
    </xf>
    <xf numFmtId="41" fontId="12" fillId="2" borderId="5" xfId="1" applyNumberFormat="1" applyFont="1" applyFill="1" applyBorder="1" applyAlignment="1">
      <alignment horizontal="right" vertical="center"/>
    </xf>
    <xf numFmtId="41" fontId="12" fillId="2" borderId="4" xfId="1" applyNumberFormat="1" applyFont="1" applyFill="1" applyBorder="1" applyAlignment="1">
      <alignment horizontal="right" vertical="center"/>
    </xf>
    <xf numFmtId="0" fontId="15" fillId="2" borderId="31" xfId="1" applyFont="1" applyFill="1" applyBorder="1" applyAlignment="1">
      <alignment horizontal="right" vertical="center"/>
    </xf>
    <xf numFmtId="41" fontId="15" fillId="2" borderId="5" xfId="2" applyFont="1" applyFill="1" applyBorder="1" applyAlignment="1">
      <alignment horizontal="right" vertical="center"/>
    </xf>
    <xf numFmtId="41" fontId="15" fillId="2" borderId="4" xfId="2" applyFont="1" applyFill="1" applyBorder="1" applyAlignment="1">
      <alignment horizontal="right" vertical="center"/>
    </xf>
    <xf numFmtId="0" fontId="12" fillId="2" borderId="31" xfId="1" applyFont="1" applyFill="1" applyBorder="1" applyAlignment="1">
      <alignment horizontal="right" vertical="center"/>
    </xf>
    <xf numFmtId="0" fontId="9" fillId="2" borderId="34" xfId="3" applyFont="1" applyFill="1" applyBorder="1" applyAlignment="1">
      <alignment horizontal="left" vertical="center" wrapText="1" indent="1" shrinkToFit="1"/>
    </xf>
    <xf numFmtId="0" fontId="21" fillId="0" borderId="0" xfId="0" applyFont="1">
      <alignment vertical="center"/>
    </xf>
    <xf numFmtId="0" fontId="22" fillId="0" borderId="31" xfId="0" applyFont="1" applyBorder="1" applyAlignment="1">
      <alignment horizontal="center" vertical="center"/>
    </xf>
    <xf numFmtId="181" fontId="22" fillId="4" borderId="0" xfId="0" applyNumberFormat="1" applyFont="1" applyFill="1">
      <alignment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5" borderId="31" xfId="0" applyFont="1" applyFill="1" applyBorder="1" applyAlignment="1">
      <alignment horizontal="center" vertical="center" wrapText="1"/>
    </xf>
    <xf numFmtId="0" fontId="25" fillId="5" borderId="31" xfId="0" applyFont="1" applyFill="1" applyBorder="1" applyAlignment="1">
      <alignment horizontal="center" vertical="center" wrapText="1"/>
    </xf>
    <xf numFmtId="0" fontId="26" fillId="5" borderId="31" xfId="0" applyFont="1" applyFill="1" applyBorder="1" applyAlignment="1">
      <alignment horizontal="center" vertical="center" wrapText="1"/>
    </xf>
    <xf numFmtId="0" fontId="24" fillId="5" borderId="31" xfId="0" quotePrefix="1" applyFont="1" applyFill="1" applyBorder="1" applyAlignment="1">
      <alignment horizontal="center" vertical="center" wrapText="1"/>
    </xf>
    <xf numFmtId="0" fontId="28" fillId="0" borderId="31" xfId="0" applyFont="1" applyBorder="1" applyAlignment="1">
      <alignment horizontal="center" vertical="center"/>
    </xf>
    <xf numFmtId="26" fontId="28" fillId="0" borderId="31" xfId="0" applyNumberFormat="1" applyFont="1" applyBorder="1" applyAlignment="1">
      <alignment horizontal="center" vertical="center"/>
    </xf>
    <xf numFmtId="0" fontId="28" fillId="0" borderId="31" xfId="9" applyFont="1" applyBorder="1" applyAlignment="1">
      <alignment horizontal="center" vertical="center"/>
    </xf>
    <xf numFmtId="182" fontId="29" fillId="6" borderId="0" xfId="0" applyNumberFormat="1" applyFont="1" applyFill="1">
      <alignment vertical="center"/>
    </xf>
    <xf numFmtId="0" fontId="22" fillId="0" borderId="31" xfId="0" applyFont="1" applyBorder="1" applyAlignment="1">
      <alignment horizontal="center" vertical="center" wrapText="1"/>
    </xf>
    <xf numFmtId="0" fontId="31" fillId="0" borderId="31" xfId="0" applyFont="1" applyBorder="1" applyAlignment="1">
      <alignment horizontal="left" vertical="center" wrapText="1"/>
    </xf>
    <xf numFmtId="0" fontId="31" fillId="0" borderId="31" xfId="0" applyFont="1" applyBorder="1" applyAlignment="1">
      <alignment horizontal="left" vertical="center"/>
    </xf>
    <xf numFmtId="41" fontId="22" fillId="7" borderId="31" xfId="1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39" fillId="0" borderId="31" xfId="0" applyFont="1" applyBorder="1" applyAlignment="1">
      <alignment horizontal="center" vertical="center"/>
    </xf>
    <xf numFmtId="26" fontId="31" fillId="0" borderId="31" xfId="0" applyNumberFormat="1" applyFont="1" applyBorder="1" applyAlignment="1">
      <alignment horizontal="left" vertical="center" wrapText="1"/>
    </xf>
    <xf numFmtId="0" fontId="21" fillId="0" borderId="31" xfId="0" applyFont="1" applyBorder="1" applyAlignment="1">
      <alignment horizontal="center" vertical="center"/>
    </xf>
    <xf numFmtId="0" fontId="40" fillId="0" borderId="31" xfId="0" applyFont="1" applyBorder="1" applyAlignment="1">
      <alignment horizontal="left" vertical="center" wrapText="1"/>
    </xf>
    <xf numFmtId="0" fontId="40" fillId="0" borderId="31" xfId="0" applyFont="1" applyBorder="1" applyAlignment="1">
      <alignment horizontal="left" vertical="center"/>
    </xf>
    <xf numFmtId="41" fontId="22" fillId="0" borderId="31" xfId="10" applyFont="1" applyFill="1" applyBorder="1" applyAlignment="1">
      <alignment horizontal="center" vertical="center"/>
    </xf>
    <xf numFmtId="41" fontId="21" fillId="0" borderId="31" xfId="1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6" fontId="31" fillId="0" borderId="31" xfId="0" applyNumberFormat="1" applyFont="1" applyBorder="1" applyAlignment="1">
      <alignment horizontal="left" vertical="center" wrapText="1"/>
    </xf>
    <xf numFmtId="0" fontId="41" fillId="0" borderId="31" xfId="0" applyFont="1" applyBorder="1" applyAlignment="1">
      <alignment horizontal="center" vertical="center"/>
    </xf>
    <xf numFmtId="0" fontId="42" fillId="0" borderId="31" xfId="0" applyFont="1" applyBorder="1" applyAlignment="1">
      <alignment horizontal="center" vertical="center"/>
    </xf>
    <xf numFmtId="181" fontId="21" fillId="0" borderId="0" xfId="0" applyNumberFormat="1" applyFont="1">
      <alignment vertical="center"/>
    </xf>
    <xf numFmtId="0" fontId="28" fillId="8" borderId="31" xfId="0" applyFont="1" applyFill="1" applyBorder="1" applyAlignment="1">
      <alignment horizontal="center" vertical="center"/>
    </xf>
    <xf numFmtId="0" fontId="44" fillId="0" borderId="31" xfId="0" applyFont="1" applyBorder="1" applyAlignment="1">
      <alignment horizontal="center" vertical="center"/>
    </xf>
    <xf numFmtId="0" fontId="44" fillId="0" borderId="31" xfId="24" applyFont="1" applyFill="1" applyBorder="1" applyAlignment="1">
      <alignment horizontal="center" vertical="center"/>
    </xf>
    <xf numFmtId="0" fontId="9" fillId="2" borderId="7" xfId="1" applyFont="1" applyFill="1" applyBorder="1" applyAlignment="1">
      <alignment horizontal="left" vertical="center"/>
    </xf>
    <xf numFmtId="0" fontId="9" fillId="2" borderId="8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center" vertical="center"/>
    </xf>
    <xf numFmtId="0" fontId="9" fillId="2" borderId="7" xfId="1" applyFont="1" applyFill="1" applyBorder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0" fillId="2" borderId="7" xfId="1" applyFont="1" applyFill="1" applyBorder="1" applyAlignment="1">
      <alignment horizontal="center" vertical="center"/>
    </xf>
    <xf numFmtId="0" fontId="10" fillId="2" borderId="9" xfId="1" applyFont="1" applyFill="1" applyBorder="1" applyAlignment="1">
      <alignment horizontal="center" vertical="center"/>
    </xf>
    <xf numFmtId="0" fontId="10" fillId="2" borderId="8" xfId="1" applyFont="1" applyFill="1" applyBorder="1" applyAlignment="1">
      <alignment horizontal="center" vertical="center"/>
    </xf>
    <xf numFmtId="0" fontId="9" fillId="2" borderId="7" xfId="1" applyFont="1" applyFill="1" applyBorder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9" fillId="2" borderId="9" xfId="1" applyFont="1" applyFill="1" applyBorder="1" applyAlignment="1">
      <alignment horizontal="center" vertical="center"/>
    </xf>
    <xf numFmtId="41" fontId="13" fillId="2" borderId="14" xfId="2" applyFont="1" applyFill="1" applyBorder="1" applyAlignment="1">
      <alignment horizontal="center" vertical="center"/>
    </xf>
    <xf numFmtId="0" fontId="13" fillId="3" borderId="20" xfId="1" applyFont="1" applyFill="1" applyBorder="1" applyAlignment="1">
      <alignment horizontal="center" vertical="center"/>
    </xf>
    <xf numFmtId="0" fontId="13" fillId="3" borderId="19" xfId="1" applyFont="1" applyFill="1" applyBorder="1" applyAlignment="1">
      <alignment horizontal="center" vertical="center"/>
    </xf>
    <xf numFmtId="0" fontId="13" fillId="3" borderId="21" xfId="1" applyFont="1" applyFill="1" applyBorder="1" applyAlignment="1">
      <alignment horizontal="center" vertical="center"/>
    </xf>
    <xf numFmtId="0" fontId="12" fillId="2" borderId="23" xfId="1" applyFont="1" applyFill="1" applyBorder="1" applyAlignment="1">
      <alignment horizontal="center" vertical="center" shrinkToFit="1"/>
    </xf>
    <xf numFmtId="0" fontId="12" fillId="2" borderId="22" xfId="1" applyFont="1" applyFill="1" applyBorder="1" applyAlignment="1">
      <alignment horizontal="center" vertical="center" shrinkToFit="1"/>
    </xf>
    <xf numFmtId="41" fontId="12" fillId="2" borderId="24" xfId="2" applyFont="1" applyFill="1" applyBorder="1" applyAlignment="1">
      <alignment horizontal="right" vertical="center"/>
    </xf>
    <xf numFmtId="177" fontId="12" fillId="2" borderId="24" xfId="2" applyNumberFormat="1" applyFont="1" applyFill="1" applyBorder="1" applyAlignment="1">
      <alignment horizontal="right" vertical="center"/>
    </xf>
    <xf numFmtId="0" fontId="12" fillId="2" borderId="23" xfId="1" applyFont="1" applyFill="1" applyBorder="1" applyAlignment="1">
      <alignment horizontal="right" vertical="center" shrinkToFit="1"/>
    </xf>
    <xf numFmtId="0" fontId="12" fillId="2" borderId="22" xfId="1" applyFont="1" applyFill="1" applyBorder="1" applyAlignment="1">
      <alignment horizontal="right" vertical="center" shrinkToFit="1"/>
    </xf>
    <xf numFmtId="0" fontId="12" fillId="2" borderId="27" xfId="1" applyFont="1" applyFill="1" applyBorder="1" applyAlignment="1">
      <alignment horizontal="center" vertical="center" shrinkToFit="1"/>
    </xf>
    <xf numFmtId="0" fontId="12" fillId="2" borderId="28" xfId="1" applyFont="1" applyFill="1" applyBorder="1" applyAlignment="1">
      <alignment horizontal="center" vertical="center" shrinkToFit="1"/>
    </xf>
    <xf numFmtId="177" fontId="12" fillId="2" borderId="27" xfId="2" applyNumberFormat="1" applyFont="1" applyFill="1" applyBorder="1" applyAlignment="1">
      <alignment horizontal="right" vertical="center"/>
    </xf>
    <xf numFmtId="177" fontId="12" fillId="2" borderId="25" xfId="2" applyNumberFormat="1" applyFont="1" applyFill="1" applyBorder="1" applyAlignment="1">
      <alignment horizontal="right" vertical="center"/>
    </xf>
    <xf numFmtId="0" fontId="12" fillId="2" borderId="27" xfId="1" applyFont="1" applyFill="1" applyBorder="1" applyAlignment="1">
      <alignment horizontal="right" vertical="center" shrinkToFit="1"/>
    </xf>
    <xf numFmtId="0" fontId="12" fillId="2" borderId="28" xfId="1" applyFont="1" applyFill="1" applyBorder="1" applyAlignment="1">
      <alignment horizontal="right" vertical="center" shrinkToFit="1"/>
    </xf>
    <xf numFmtId="0" fontId="12" fillId="2" borderId="25" xfId="1" applyFont="1" applyFill="1" applyBorder="1" applyAlignment="1">
      <alignment horizontal="right" vertical="center" shrinkToFit="1"/>
    </xf>
    <xf numFmtId="0" fontId="12" fillId="2" borderId="25" xfId="1" applyFont="1" applyFill="1" applyBorder="1" applyAlignment="1">
      <alignment horizontal="center" vertical="center" shrinkToFit="1"/>
    </xf>
    <xf numFmtId="0" fontId="2" fillId="2" borderId="14" xfId="1" applyFont="1" applyFill="1" applyBorder="1" applyAlignment="1">
      <alignment horizontal="center" vertical="center" wrapText="1"/>
    </xf>
    <xf numFmtId="0" fontId="2" fillId="2" borderId="14" xfId="1" applyFont="1" applyFill="1" applyBorder="1" applyAlignment="1">
      <alignment horizontal="left" vertical="center" wrapText="1"/>
    </xf>
    <xf numFmtId="0" fontId="13" fillId="2" borderId="14" xfId="1" applyFont="1" applyFill="1" applyBorder="1" applyAlignment="1">
      <alignment horizontal="center" vertical="center"/>
    </xf>
    <xf numFmtId="0" fontId="13" fillId="2" borderId="16" xfId="1" applyFont="1" applyFill="1" applyBorder="1" applyAlignment="1">
      <alignment horizontal="center" vertical="center"/>
    </xf>
    <xf numFmtId="41" fontId="15" fillId="2" borderId="17" xfId="1" applyNumberFormat="1" applyFont="1" applyFill="1" applyBorder="1" applyAlignment="1">
      <alignment horizontal="right" vertical="center"/>
    </xf>
    <xf numFmtId="0" fontId="15" fillId="2" borderId="16" xfId="1" applyFont="1" applyFill="1" applyBorder="1" applyAlignment="1">
      <alignment horizontal="right" vertical="center"/>
    </xf>
    <xf numFmtId="0" fontId="13" fillId="2" borderId="17" xfId="1" applyFont="1" applyFill="1" applyBorder="1" applyAlignment="1">
      <alignment horizontal="center" vertical="center"/>
    </xf>
    <xf numFmtId="0" fontId="12" fillId="2" borderId="17" xfId="1" applyFont="1" applyFill="1" applyBorder="1" applyAlignment="1">
      <alignment horizontal="center" vertical="center"/>
    </xf>
    <xf numFmtId="0" fontId="12" fillId="2" borderId="16" xfId="1" applyFont="1" applyFill="1" applyBorder="1" applyAlignment="1">
      <alignment horizontal="center" vertical="center"/>
    </xf>
    <xf numFmtId="41" fontId="13" fillId="2" borderId="17" xfId="2" applyFont="1" applyFill="1" applyBorder="1" applyAlignment="1">
      <alignment horizontal="right" vertical="center"/>
    </xf>
    <xf numFmtId="41" fontId="13" fillId="2" borderId="14" xfId="2" applyFont="1" applyFill="1" applyBorder="1" applyAlignment="1">
      <alignment horizontal="right" vertical="center"/>
    </xf>
    <xf numFmtId="41" fontId="13" fillId="2" borderId="16" xfId="2" applyFont="1" applyFill="1" applyBorder="1" applyAlignment="1">
      <alignment horizontal="right" vertical="center"/>
    </xf>
    <xf numFmtId="0" fontId="12" fillId="2" borderId="17" xfId="1" applyFont="1" applyFill="1" applyBorder="1" applyAlignment="1">
      <alignment horizontal="right" vertical="center"/>
    </xf>
    <xf numFmtId="0" fontId="12" fillId="2" borderId="16" xfId="1" applyFont="1" applyFill="1" applyBorder="1" applyAlignment="1">
      <alignment horizontal="right" vertical="center"/>
    </xf>
    <xf numFmtId="0" fontId="30" fillId="2" borderId="2" xfId="1" applyFont="1" applyFill="1" applyBorder="1" applyAlignment="1">
      <alignment horizontal="right" vertical="top"/>
    </xf>
    <xf numFmtId="0" fontId="12" fillId="2" borderId="14" xfId="1" applyFont="1" applyFill="1" applyBorder="1" applyAlignment="1">
      <alignment horizontal="center" vertical="center"/>
    </xf>
    <xf numFmtId="177" fontId="12" fillId="2" borderId="29" xfId="2" applyNumberFormat="1" applyFont="1" applyFill="1" applyBorder="1" applyAlignment="1">
      <alignment horizontal="right" vertical="center"/>
    </xf>
    <xf numFmtId="177" fontId="12" fillId="2" borderId="30" xfId="2" applyNumberFormat="1" applyFont="1" applyFill="1" applyBorder="1" applyAlignment="1">
      <alignment horizontal="right" vertical="center"/>
    </xf>
    <xf numFmtId="177" fontId="12" fillId="2" borderId="26" xfId="2" applyNumberFormat="1" applyFont="1" applyFill="1" applyBorder="1" applyAlignment="1">
      <alignment horizontal="right" vertical="center"/>
    </xf>
  </cellXfs>
  <cellStyles count="25">
    <cellStyle name="_x0002_._x0011__x0002_._x001b__x0002_ _x0015_%_x0018__x0001_" xfId="4" xr:uid="{00000000-0005-0000-0000-000000000000}"/>
    <cellStyle name="Header1" xfId="5" xr:uid="{00000000-0005-0000-0000-000001000000}"/>
    <cellStyle name="Header2" xfId="6" xr:uid="{00000000-0005-0000-0000-000002000000}"/>
    <cellStyle name="Normal 2" xfId="15" xr:uid="{00000000-0005-0000-0000-000003000000}"/>
    <cellStyle name="경고문" xfId="24" builtinId="11"/>
    <cellStyle name="쉼표 [0]" xfId="10" builtinId="6"/>
    <cellStyle name="쉼표 [0] 2" xfId="2" xr:uid="{00000000-0005-0000-0000-000005000000}"/>
    <cellStyle name="쉼표 [0] 3" xfId="22" xr:uid="{A290A45F-661A-4500-B533-354E412A4FBE}"/>
    <cellStyle name="一般 2" xfId="23" xr:uid="{8913588B-C5F2-40D1-B7A0-5B4CA9EA4DF6}"/>
    <cellStyle name="콤마 [0]_95" xfId="7" xr:uid="{00000000-0005-0000-0000-000006000000}"/>
    <cellStyle name="콤마_95" xfId="8" xr:uid="{00000000-0005-0000-0000-000007000000}"/>
    <cellStyle name="통화 2" xfId="13" xr:uid="{00000000-0005-0000-0000-000008000000}"/>
    <cellStyle name="표준" xfId="0" builtinId="0"/>
    <cellStyle name="표준 146" xfId="16" xr:uid="{00000000-0005-0000-0000-00000A000000}"/>
    <cellStyle name="표준 2" xfId="9" xr:uid="{00000000-0005-0000-0000-00000B000000}"/>
    <cellStyle name="표준 2 2" xfId="19" xr:uid="{00000000-0005-0000-0000-00000C000000}"/>
    <cellStyle name="표준 2 3" xfId="14" xr:uid="{00000000-0005-0000-0000-00000D000000}"/>
    <cellStyle name="표준 2 4" xfId="11" xr:uid="{00000000-0005-0000-0000-00000E000000}"/>
    <cellStyle name="표준 3" xfId="17" xr:uid="{00000000-0005-0000-0000-00000F000000}"/>
    <cellStyle name="표준 4" xfId="20" xr:uid="{00000000-0005-0000-0000-000010000000}"/>
    <cellStyle name="표준 5" xfId="21" xr:uid="{00000000-0005-0000-0000-000011000000}"/>
    <cellStyle name="표준 5 2 2" xfId="18" xr:uid="{00000000-0005-0000-0000-000012000000}"/>
    <cellStyle name="표준 6" xfId="12" xr:uid="{00000000-0005-0000-0000-000013000000}"/>
    <cellStyle name="표준_거래명세서" xfId="1" xr:uid="{00000000-0005-0000-0000-000014000000}"/>
    <cellStyle name="표준_거래명세서(세금계산서)" xfId="3" xr:uid="{00000000-0005-0000-0000-000015000000}"/>
  </cellStyles>
  <dxfs count="8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47625</xdr:colOff>
          <xdr:row>1</xdr:row>
          <xdr:rowOff>0</xdr:rowOff>
        </xdr:from>
        <xdr:to>
          <xdr:col>31</xdr:col>
          <xdr:colOff>1247775</xdr:colOff>
          <xdr:row>4</xdr:row>
          <xdr:rowOff>190500</xdr:rowOff>
        </xdr:to>
        <xdr:sp macro="" textlink="">
          <xdr:nvSpPr>
            <xdr:cNvPr id="30722" name="CommandButton1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</xdr:col>
      <xdr:colOff>618565</xdr:colOff>
      <xdr:row>11</xdr:row>
      <xdr:rowOff>29135</xdr:rowOff>
    </xdr:from>
    <xdr:to>
      <xdr:col>40</xdr:col>
      <xdr:colOff>64994</xdr:colOff>
      <xdr:row>18</xdr:row>
      <xdr:rowOff>56031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8480741" y="4063253"/>
          <a:ext cx="6091518" cy="15172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1.</a:t>
          </a:r>
          <a:r>
            <a:rPr lang="en-US" altLang="ko-KR" sz="1100" baseline="0"/>
            <a:t> Masterfile</a:t>
          </a:r>
          <a:r>
            <a:rPr lang="ko-KR" altLang="en-US" sz="1100" baseline="0"/>
            <a:t>에서 출하일 기준으로 </a:t>
          </a:r>
          <a:r>
            <a:rPr lang="en-US" altLang="ko-KR" sz="1100" baseline="0"/>
            <a:t>Sorting</a:t>
          </a:r>
          <a:r>
            <a:rPr lang="ko-KR" altLang="en-US" sz="1100" baseline="0"/>
            <a:t>한후 </a:t>
          </a:r>
          <a:r>
            <a:rPr lang="en-US" altLang="ko-KR" sz="1100" baseline="0"/>
            <a:t>[No~0247#]</a:t>
          </a:r>
          <a:r>
            <a:rPr lang="ko-KR" altLang="en-US" sz="1100" baseline="0"/>
            <a:t>까지 복사하여 붙여넣기</a:t>
          </a:r>
          <a:endParaRPr lang="en-US" altLang="ko-KR" sz="1100" baseline="0"/>
        </a:p>
        <a:p>
          <a:endParaRPr lang="en-US" altLang="ko-KR" sz="1100" baseline="0"/>
        </a:p>
        <a:p>
          <a:r>
            <a:rPr lang="en-US" altLang="ko-KR" sz="1100" baseline="0"/>
            <a:t>2. I</a:t>
          </a:r>
          <a:r>
            <a:rPr lang="ko-KR" altLang="en-US" sz="1100" baseline="0"/>
            <a:t>열에 각 </a:t>
          </a:r>
          <a:r>
            <a:rPr lang="en-US" altLang="ko-KR" sz="1100" baseline="0"/>
            <a:t>Part</a:t>
          </a:r>
          <a:r>
            <a:rPr lang="ko-KR" altLang="en-US" sz="1100" baseline="0"/>
            <a:t>별 리페어 또는 세정비용 기록 </a:t>
          </a:r>
          <a:r>
            <a:rPr lang="en-US" altLang="ko-KR" sz="1100" baseline="0"/>
            <a:t>- </a:t>
          </a:r>
          <a:r>
            <a:rPr lang="ko-KR" altLang="en-US" sz="1100" baseline="0"/>
            <a:t>단위 </a:t>
          </a:r>
          <a:r>
            <a:rPr lang="en-US" altLang="ko-KR" sz="1100" baseline="0"/>
            <a:t>: USD</a:t>
          </a:r>
        </a:p>
        <a:p>
          <a:endParaRPr lang="en-US" altLang="ko-KR" sz="1100" baseline="0"/>
        </a:p>
        <a:p>
          <a:r>
            <a:rPr lang="en-US" altLang="ko-KR" sz="1100" baseline="0"/>
            <a:t>3. Z1</a:t>
          </a:r>
          <a:r>
            <a:rPr lang="ko-KR" altLang="en-US" sz="1100" baseline="0"/>
            <a:t>셀에 그달의 환율정보 기록</a:t>
          </a:r>
          <a:endParaRPr lang="en-US" altLang="ko-KR" sz="1100" baseline="0"/>
        </a:p>
        <a:p>
          <a:endParaRPr lang="en-US" altLang="ko-KR" sz="1100" baseline="0"/>
        </a:p>
        <a:p>
          <a:r>
            <a:rPr lang="en-US" altLang="ko-KR" sz="1100" baseline="0"/>
            <a:t>4. </a:t>
          </a:r>
          <a:r>
            <a:rPr lang="ko-KR" altLang="en-US" sz="1100" baseline="0"/>
            <a:t>클릭</a:t>
          </a:r>
          <a:r>
            <a:rPr lang="en-US" altLang="ko-KR" sz="1100" baseline="0"/>
            <a:t>!!!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4" name="Group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 rot="251450">
          <a:off x="1923997" y="4727486"/>
          <a:ext cx="2879960" cy="1332056"/>
          <a:chOff x="1781642" y="4361906"/>
          <a:chExt cx="3209926" cy="1619107"/>
        </a:xfrm>
      </xdr:grpSpPr>
      <xdr:sp macro="" textlink="">
        <xdr:nvSpPr>
          <xdr:cNvPr id="5" name="Freeform 5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6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9" name="Group 4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 rot="251450">
          <a:off x="8579553" y="4722993"/>
          <a:ext cx="2879960" cy="1332056"/>
          <a:chOff x="1781642" y="4361906"/>
          <a:chExt cx="3209926" cy="1619107"/>
        </a:xfrm>
      </xdr:grpSpPr>
      <xdr:sp macro="" textlink="">
        <xdr:nvSpPr>
          <xdr:cNvPr id="10" name="Freeform 5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" name="Straight Connector 6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12" name="Group 4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 rot="251450">
          <a:off x="1923997" y="4727486"/>
          <a:ext cx="2879960" cy="1332056"/>
          <a:chOff x="1781642" y="4361906"/>
          <a:chExt cx="3209926" cy="1619107"/>
        </a:xfrm>
      </xdr:grpSpPr>
      <xdr:sp macro="" textlink="">
        <xdr:nvSpPr>
          <xdr:cNvPr id="13" name="Freeform 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4" name="Straight Connector 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5" name="Group 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 rot="251450">
          <a:off x="8579553" y="4722993"/>
          <a:ext cx="2879960" cy="1332056"/>
          <a:chOff x="1781642" y="4361906"/>
          <a:chExt cx="3209926" cy="1619107"/>
        </a:xfrm>
      </xdr:grpSpPr>
      <xdr:sp macro="" textlink="">
        <xdr:nvSpPr>
          <xdr:cNvPr id="16" name="Freeform 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7" name="Straight Connector 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82E3BCAB-2F88-4405-A018-81B7BCB361F6}"/>
            </a:ext>
          </a:extLst>
        </xdr:cNvPr>
        <xdr:cNvGrpSpPr/>
      </xdr:nvGrpSpPr>
      <xdr:grpSpPr>
        <a:xfrm rot="251450">
          <a:off x="1923997" y="4727486"/>
          <a:ext cx="2879960" cy="1332056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70DF735F-F34B-CB07-0993-39691B13F76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75A8422-713E-D5C1-B8CA-C28BCB53865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6AC507E-68E2-4C55-BD2B-FA3DF05E44FB}"/>
            </a:ext>
          </a:extLst>
        </xdr:cNvPr>
        <xdr:cNvGrpSpPr/>
      </xdr:nvGrpSpPr>
      <xdr:grpSpPr>
        <a:xfrm rot="251450">
          <a:off x="8579553" y="4722993"/>
          <a:ext cx="2879960" cy="1332056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70D354E5-5D36-A5C2-55C8-680D2D4C2D5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FC22E660-0381-FAD7-65F1-A405E01293C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3E2D5C55-8006-408A-9481-102E500C6EBC}"/>
            </a:ext>
          </a:extLst>
        </xdr:cNvPr>
        <xdr:cNvGrpSpPr/>
      </xdr:nvGrpSpPr>
      <xdr:grpSpPr>
        <a:xfrm rot="251450">
          <a:off x="1923997" y="4727486"/>
          <a:ext cx="2879960" cy="1332056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CBDA142E-FBB4-80F3-6D93-1F09D2F500F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60C2D1CE-6EE2-EFCA-9278-BEEBA3A19E7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9F40E1E7-5780-48E6-862C-B52B7E820A34}"/>
            </a:ext>
          </a:extLst>
        </xdr:cNvPr>
        <xdr:cNvGrpSpPr/>
      </xdr:nvGrpSpPr>
      <xdr:grpSpPr>
        <a:xfrm rot="251450">
          <a:off x="8579553" y="4722993"/>
          <a:ext cx="2879960" cy="1332056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56DADAB4-75C4-4078-58FF-9F02220C00F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EF6DA755-3CBA-F63A-8CA7-1A97433568F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C0017B7A-D447-46BC-AB5F-832EFAE62515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D40E575F-A99F-89E1-5CC3-5B6047BF966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4350E25A-4F37-9A08-53F0-24A65A9929A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FA8FF4F-B2B3-42E3-801F-B6D2BFADCF25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2429FBF4-89F8-1C34-C898-680D425AAC6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B4EF2CEF-A841-8D10-2438-EFAF5D977AC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7D2CDA42-959B-4BF8-9B8B-B778A2EF666E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0C0EEA01-1354-7562-88AE-FE26ECAE453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3ED147A6-62E1-01D7-C1AD-86CD4FFEDD6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88AD9AD5-5B8E-43EE-8A58-13F6931F7AAC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2F08F446-412B-8445-7B55-A8D5562D447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99B40F7A-E0A8-C8F4-E6D0-84B324EC3DC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D5BAAFC8-3ED6-4B0E-9515-E7A7853F47F3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952237C1-5FA0-B76F-0075-89E6EEB9005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859B71D5-8D02-0BD2-4830-7FC3A4D7210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95B50E9-ECDE-4CA5-8C5F-BE52DECA1C49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6FBCBAE6-5A13-0FD3-D6A2-9ED0DD9F49A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815B02FB-336D-DAC1-20EE-6CCE414A612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C4D59FF7-5D1E-4770-B67C-793946E63EB4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5C05FA80-BD6C-EFFD-BDFE-A88648939C4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3F807E42-4AED-013D-92E7-E87DAE75242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A565C15F-CF37-4D64-B03C-651D293F1FC7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5F6A1D71-9D9A-0926-10A8-49108EEC6F4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1E0D2791-EC88-681F-FA36-17060CD6BA0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51DDDFC2-8D59-49C4-9ABB-49DBD52E91B1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8676B88A-2CF1-0B95-090C-B52EFC720FB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50F66013-3EBC-59DF-17A4-B1DB012434E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E3BC10C-ADC2-43D5-9911-74F7FDDC816D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D7CE2517-D423-C843-A9AB-A6D256031A3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AE87EFE-0204-D6FF-8DB4-08B6D11A9DA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DD6C3990-D0D9-420C-B40D-25E1D677209E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93566259-4155-0DCE-21F5-F3232BF5D20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BD6E638B-CB38-43B4-DF87-454DB392521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B5624B55-45EA-4B76-B1B4-8C5C1EF2DC22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98C46E09-08C9-E881-EED6-29A7E2C3845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2564BED0-9E00-D188-24A9-DC790400CBDF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E4BA9F0E-DD4C-48E8-835F-D09C7437B805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D8D25605-8695-2DC1-3258-0E2ABCDA86B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B9809939-CA41-B84B-010D-911D49CF0FE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855584A-1875-4EA1-BDE8-ADDF9EE72315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554BD87E-88AC-2737-5B2A-75399E5F818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37E3C92B-05E4-9FBA-8FEA-61F7B09A048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4B990360-3EBB-47D1-B707-16ED3C761E62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BA88B461-E474-1749-5407-8FAD75C7AF6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81BE0127-8B0F-107A-5D13-3DAED343E8A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D185AF70-164B-433A-956C-2DE9A6D894D5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D1B7B01D-A25B-36B2-551F-5651A5F15F9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D4415355-F034-2298-7DF0-15524358B16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76F50274-C68C-4894-9007-9A0C378F00AE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C6A14DF1-3476-887A-8A5C-E708CE3320D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021DEB1C-581D-E662-E3C4-78FC685D9B7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90137FD0-7FE0-412F-8A48-B6CDA51E5CB8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3E2CA9D4-BFFC-A96A-A8E4-147B013F1115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20A62B35-389F-0C5E-8E56-D5CE635A62A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E5C8E01B-9B5B-419B-B837-962829813D52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826903A7-B916-C238-ED09-86D30E06CA9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74257730-F513-A0A9-25B1-52337071AFE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84FA9052-7C55-4B9F-A884-19B51186E840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8E541723-D76D-C791-8D0F-53BF4391C4C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814C7506-4C54-9267-75DE-329B5C09093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E8CDE5E3-A431-4312-AF6E-38DA4AC21CAB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51D0B3F7-2019-3169-4B45-04D6F472552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CFA648C0-4918-96A6-1270-692AA86769EB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474D24F-7CED-4A64-9DDE-6C4AAC44A539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14099E37-9078-5962-BD07-CCD8E7AE7CA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D9C3A9E6-07B6-DDF3-62CF-358D6972D3A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B06BE4AB-25FE-484A-8D2D-3F5C60DB9382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6F30E655-069B-46B0-AFAF-5D5E77FEB5A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2B4F38D0-7E1C-D7A0-C15B-C37410F2D32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9F3476BD-8173-43BC-87BE-7FEBFD217752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61D258F7-333C-7915-3FD1-B41D1A32AE3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EADC2A75-93B7-358E-8CB8-855F064BB1B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752FFE1A-3427-437E-9117-2C37C504705D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ACE112FD-6594-03D7-BF30-BAC7DA4A787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18B9BA51-FB41-0DE4-C02E-6CB016E92D1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BBB8558-A105-48B2-9957-2EAF7B52CC65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C3AF5831-0325-2589-22FB-86436E79524D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DE174C34-D160-E6F7-AA87-55B44111BE0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3B4DD21D-A5DC-4741-B06E-CEAC05159DE0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8F22B6C4-4158-C580-3665-766BE34DAA5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D5FFA718-E6DF-CE62-6715-9D22CFAD62E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A395AE58-E1FB-49C0-9403-439505C0EEE9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93E09AA2-273D-0963-612A-E4F69351163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FC8A70BF-C672-0CF4-09DF-F1ED8D843C4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F3E1648F-C87A-4165-BAAB-E2E8CF5EC08F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09C527D4-DFCF-0C9A-B4DD-44312661880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4E76D12B-6902-1852-C5FA-F439C26335C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BD704ED-F5A4-4003-AB97-84752B0AD708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306ECB63-9CBA-D8B3-1AAE-B84DC4ADFC8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9F7D63F2-3DD3-A541-EFE2-6423687DE87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8EE668B5-1549-4B99-AED9-9264D3E8414A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DCA291E1-2B1F-7B59-463A-5FFCDE940CB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530257B1-C18B-2060-7FAE-3E3165C06F5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9B2FB4F3-352F-48D9-966B-1D65955F7E10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20D8CB88-C96F-0BDE-AE3B-A21AE86530C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5965D74C-AB97-5196-2C90-80C02D86F60D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DF440CA8-A54F-482D-998F-C9147A0BD88B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5BB3083A-A93B-E4B1-CC82-F50F8A405AC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F213D8C5-0625-448E-5EC6-45A3D8178E8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B0D3341-25F9-4266-ADE1-78EBF623B703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821CCCB4-7EE8-3B61-1BD9-4CE801C2F9C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3FC39022-042E-7533-2B31-E8277867504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B2347002-9008-4E04-B4DF-C7C79362A35F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8FFAE86D-B6DE-7A69-01AC-FFBDC32D9A7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346ED271-F4F7-50A5-4D8A-F952B731132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3D881A84-626B-43DC-A3C5-3FC43F5603C1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DD1C61E5-1487-8C09-2CD6-0F41D54F982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66242FCA-F082-1721-D337-1E017449088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13FB4070-20A1-4406-ACD0-F304AEF56507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CE7E1086-F89F-9752-B935-53AB5FA0C1F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AE98FE9-33D4-8041-8D70-A252D68162E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69D3231-EEC1-4381-AC15-44FFD1F9FA93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AEA3809C-3B5B-1A45-11F7-ED29B17269AF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D83C7BC-CD1D-D8FB-DB31-E0A09CFE189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909876B9-6A5E-4D29-8B6A-A5F1022D8894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F9217F0B-B046-2AA5-6760-7C67E94CC3D2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69A3FF7E-E1A3-4C7F-BA4B-7B246CA68BC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16592FD1-26B0-4FBC-96AB-207634371C92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6A75572E-B674-C59E-C8DB-FD91E2E009B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603A9A51-6C15-DEE2-830F-4C65EED9801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C24358DC-4F80-4ED1-AEA9-57DE8F419D53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3CEAA566-B150-1F57-8924-9749C697BB5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2A6254CE-3DB0-5C57-931B-0F5303A28BF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2E09844-EF87-4172-A23B-BF505CDBAFB5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E8DB4C26-42DE-58E2-9A49-E202C5AC9524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50EFF4F7-38DA-B0EF-B51D-F4B2E4D8D558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3017C1C7-69A4-4DE4-BD82-7403345D8ECB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EFEB9666-3805-D863-D436-69CF58DCFF1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189D6111-B813-5947-B20A-229FB39E3316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9E4F52BB-B898-4E18-A868-A96A51D2C0B0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AF84DC03-8D13-76A6-CBD5-400BABB5F27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3FBD7487-1A2E-CD60-6803-DAAAA0633BF3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6A54C2C9-7137-425F-92CC-F6E08A459770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970D1BAA-2900-D736-3777-E211D118C12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EC05886A-DEF5-5D94-2C6B-C0344CB38E3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A537570-9AE6-407F-ABB5-9273F080F469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A5755E9A-3286-DC40-52E2-C0B12C4EC26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4727764A-1107-C191-7BFE-E3A80A3A1055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A501BF5F-6236-43E6-8FB9-910743E090D0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27C96E5B-F049-1928-585F-0BB04A2FCB4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19C3FEF5-D534-A39C-2496-BA30C2A09358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58B06BFF-550F-4C1C-BD02-D76BBE56DD0A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F8BCC552-AEB1-7DDC-A35C-81F6EAC5BDBC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F95A7DEE-78ED-9862-A33E-80F5AD302669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DCFCAB00-6E48-480D-BEBA-874B9843868D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A3B9541A-A9E3-6BD4-131D-8B3BCAEE3AD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960AEE9D-F105-BF59-C93C-E9C5B45E36E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939302E-5109-4562-B43F-8D1000043D14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D59C5321-655D-09C0-49E2-3DAF4BA9AC4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831BA964-7542-5CDF-F412-6E616C7E5DB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EAEFC119-C5F6-43FD-B56C-F38301E0882B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79E4A7A8-F6CB-1923-35DE-676B08AD0AF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1AA510C4-812C-60CD-99F5-96DD9F0E9272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DDE5C18B-3EE1-4E4F-8182-2CFA94AFB76C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D11DADDD-5A8E-39B3-387F-B4695D34552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1E9D4705-F90D-6702-44EF-FAC30C4764B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C2AF2A8C-6523-45EB-A53C-E967813DE1B5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49542A85-E91A-234B-68AF-081BDCC90279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E7687EE0-5646-80BE-ABDA-C23AD30F6DC7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E2F362B-F35F-4B5F-B18C-CBD526C97766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E0FE58E6-488F-C1BF-1094-CC10DCC6A0B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4F7EECCA-D2B8-4F7E-BF7B-EB4666FDE46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431956A1-874A-4C4E-9E3B-B59783294FFC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DC798C90-CED5-715C-F857-5FE6F2E71526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A4DF948B-DD0D-5A91-8851-701814A5E2B4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9B5CC28D-A0FE-426D-9E47-84A940E78CCE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AC5F51C1-E319-0502-57C6-9836ABB57533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71B84220-A75A-2CF9-89CB-6F212C0D7688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28615F3F-A53B-4B2B-ABCF-C2BB735EEA58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6C2E57A7-60D4-5821-26CE-7A874D02885A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77B814C6-04C9-CC0B-5FB0-D5BA6E0BF35C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87BA2D9-CBE4-46B3-A0F3-DC40BDD98DEC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01B7105D-099B-4345-283C-83B71B26D36B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F439F3D8-C192-911E-4FFD-EB7FE0B71AA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D4B977D4-BC9A-4403-A963-223CD2295F65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48A2C7C9-BF73-836B-FE80-ECC8195AF7F0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29FC4A6A-1A39-0DDC-23F8-7267DA6AC4B0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EFBED20B-97C1-4D44-92A3-9FAC15062DC5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A767BDE2-17FA-1A8C-120C-E561D9E1384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AE0E1EF1-76BB-79C2-295E-AE6AD9E24EF1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2" name="Group 4">
          <a:extLst>
            <a:ext uri="{FF2B5EF4-FFF2-40B4-BE49-F238E27FC236}">
              <a16:creationId xmlns:a16="http://schemas.microsoft.com/office/drawing/2014/main" id="{4A940B3B-B2AF-42A9-A9D8-8DAED7FAE8BA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3" name="Freeform 5">
            <a:extLst>
              <a:ext uri="{FF2B5EF4-FFF2-40B4-BE49-F238E27FC236}">
                <a16:creationId xmlns:a16="http://schemas.microsoft.com/office/drawing/2014/main" id="{93E2EAEB-61B3-F07B-D141-D480D7A45CA8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6">
            <a:extLst>
              <a:ext uri="{FF2B5EF4-FFF2-40B4-BE49-F238E27FC236}">
                <a16:creationId xmlns:a16="http://schemas.microsoft.com/office/drawing/2014/main" id="{8DCD62B5-8352-8F53-594D-0ED255537BFA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88FCC97-C112-4E78-83C8-551193CA07A2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7346E710-603F-C40C-1139-75A3B4C594DE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1A82EB5D-B84E-B097-BE27-52EFE64D3C9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119850</xdr:colOff>
      <xdr:row>13</xdr:row>
      <xdr:rowOff>267545</xdr:rowOff>
    </xdr:from>
    <xdr:to>
      <xdr:col>7</xdr:col>
      <xdr:colOff>310398</xdr:colOff>
      <xdr:row>17</xdr:row>
      <xdr:rowOff>120424</xdr:rowOff>
    </xdr:to>
    <xdr:grpSp>
      <xdr:nvGrpSpPr>
        <xdr:cNvPr id="8" name="Group 4">
          <a:extLst>
            <a:ext uri="{FF2B5EF4-FFF2-40B4-BE49-F238E27FC236}">
              <a16:creationId xmlns:a16="http://schemas.microsoft.com/office/drawing/2014/main" id="{9032CE4B-0682-484B-9544-47D3BD60F9C6}"/>
            </a:ext>
          </a:extLst>
        </xdr:cNvPr>
        <xdr:cNvGrpSpPr/>
      </xdr:nvGrpSpPr>
      <xdr:grpSpPr>
        <a:xfrm rot="251450">
          <a:off x="1957333" y="4808504"/>
          <a:ext cx="2936796" cy="1350910"/>
          <a:chOff x="1781642" y="4361906"/>
          <a:chExt cx="3209926" cy="1619107"/>
        </a:xfrm>
      </xdr:grpSpPr>
      <xdr:sp macro="" textlink="">
        <xdr:nvSpPr>
          <xdr:cNvPr id="9" name="Freeform 5">
            <a:extLst>
              <a:ext uri="{FF2B5EF4-FFF2-40B4-BE49-F238E27FC236}">
                <a16:creationId xmlns:a16="http://schemas.microsoft.com/office/drawing/2014/main" id="{73F592E8-9712-605F-C3BD-118A79A22467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" name="Straight Connector 6">
            <a:extLst>
              <a:ext uri="{FF2B5EF4-FFF2-40B4-BE49-F238E27FC236}">
                <a16:creationId xmlns:a16="http://schemas.microsoft.com/office/drawing/2014/main" id="{D72A7BA8-8617-D1B6-18FE-318B2AA809CE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197553</xdr:colOff>
      <xdr:row>13</xdr:row>
      <xdr:rowOff>263052</xdr:rowOff>
    </xdr:from>
    <xdr:to>
      <xdr:col>19</xdr:col>
      <xdr:colOff>388101</xdr:colOff>
      <xdr:row>17</xdr:row>
      <xdr:rowOff>115931</xdr:rowOff>
    </xdr:to>
    <xdr:grpSp>
      <xdr:nvGrpSpPr>
        <xdr:cNvPr id="11" name="Group 4">
          <a:extLst>
            <a:ext uri="{FF2B5EF4-FFF2-40B4-BE49-F238E27FC236}">
              <a16:creationId xmlns:a16="http://schemas.microsoft.com/office/drawing/2014/main" id="{42C08F56-BFDD-49BE-9BD6-CA8D12C88590}"/>
            </a:ext>
          </a:extLst>
        </xdr:cNvPr>
        <xdr:cNvGrpSpPr/>
      </xdr:nvGrpSpPr>
      <xdr:grpSpPr>
        <a:xfrm rot="251450">
          <a:off x="8740155" y="4804011"/>
          <a:ext cx="2936796" cy="1351291"/>
          <a:chOff x="1781642" y="4361906"/>
          <a:chExt cx="3209926" cy="1619107"/>
        </a:xfrm>
      </xdr:grpSpPr>
      <xdr:sp macro="" textlink="">
        <xdr:nvSpPr>
          <xdr:cNvPr id="12" name="Freeform 5">
            <a:extLst>
              <a:ext uri="{FF2B5EF4-FFF2-40B4-BE49-F238E27FC236}">
                <a16:creationId xmlns:a16="http://schemas.microsoft.com/office/drawing/2014/main" id="{D834AA5F-9588-7713-5788-32098D43D9E1}"/>
              </a:ext>
            </a:extLst>
          </xdr:cNvPr>
          <xdr:cNvSpPr/>
        </xdr:nvSpPr>
        <xdr:spPr>
          <a:xfrm rot="477754">
            <a:off x="1781642" y="4361906"/>
            <a:ext cx="3209926" cy="1619107"/>
          </a:xfrm>
          <a:custGeom>
            <a:avLst/>
            <a:gdLst>
              <a:gd name="connsiteX0" fmla="*/ 0 w 1361423"/>
              <a:gd name="connsiteY0" fmla="*/ 518475 h 1470975"/>
              <a:gd name="connsiteX1" fmla="*/ 1343025 w 1361423"/>
              <a:gd name="connsiteY1" fmla="*/ 42225 h 1470975"/>
              <a:gd name="connsiteX2" fmla="*/ 752475 w 1361423"/>
              <a:gd name="connsiteY2" fmla="*/ 1470975 h 147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1423" h="1470975">
                <a:moveTo>
                  <a:pt x="0" y="518475"/>
                </a:moveTo>
                <a:cubicBezTo>
                  <a:pt x="608806" y="200975"/>
                  <a:pt x="1217612" y="-116525"/>
                  <a:pt x="1343025" y="42225"/>
                </a:cubicBezTo>
                <a:cubicBezTo>
                  <a:pt x="1468438" y="200975"/>
                  <a:pt x="917575" y="1243963"/>
                  <a:pt x="752475" y="1470975"/>
                </a:cubicBezTo>
              </a:path>
            </a:pathLst>
          </a:cu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6">
            <a:extLst>
              <a:ext uri="{FF2B5EF4-FFF2-40B4-BE49-F238E27FC236}">
                <a16:creationId xmlns:a16="http://schemas.microsoft.com/office/drawing/2014/main" id="{CED10A55-CAAF-EB3C-1D0B-2BFF7B365EE8}"/>
              </a:ext>
            </a:extLst>
          </xdr:cNvPr>
          <xdr:cNvCxnSpPr/>
        </xdr:nvCxnSpPr>
        <xdr:spPr>
          <a:xfrm>
            <a:off x="3829050" y="5495925"/>
            <a:ext cx="685800" cy="171450"/>
          </a:xfrm>
          <a:prstGeom prst="line">
            <a:avLst/>
          </a:prstGeom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최해인" id="{0F64E5C6-408C-4201-B59A-09D6F1F68E6E}" userId="S::haeinchoi@hansoliones.com::43e61ae2-73e5-4784-abbe-8383fc79ec8c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6" dT="2026-03-17T09:59:03.84" personId="{0F64E5C6-408C-4201-B59A-09D6F1F68E6E}" id="{2CF196DA-5111-4C43-B566-EA6F75EF33D2}">
    <text>PN Conversion
0247-08710-&gt;0247-09881</text>
  </threadedComment>
  <threadedComment ref="H43" dT="2026-03-17T09:59:03.84" personId="{0F64E5C6-408C-4201-B59A-09D6F1F68E6E}" id="{08F0DFF2-8DBC-4A88-AF25-22910D619C3A}">
    <text>PN Conversion
0247-08710-&gt;0247-09881</text>
  </threadedComment>
  <threadedComment ref="H46" dT="2026-03-17T09:59:03.84" personId="{0F64E5C6-408C-4201-B59A-09D6F1F68E6E}" id="{FF3DC0EB-3489-4856-A8FA-B2BA5D34F17E}">
    <text>PN Conversion
0247-08710-&gt;0247-09881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86"/>
  <sheetViews>
    <sheetView tabSelected="1" zoomScaleNormal="100" workbookViewId="0">
      <pane xSplit="16740" topLeftCell="AC1"/>
      <selection activeCell="G6" sqref="G6"/>
      <selection pane="topRight" activeCell="AE6" sqref="AE6"/>
    </sheetView>
  </sheetViews>
  <sheetFormatPr defaultColWidth="8.625" defaultRowHeight="16.5"/>
  <cols>
    <col min="1" max="1" width="6.5" style="83" bestFit="1" customWidth="1"/>
    <col min="2" max="2" width="10.25" style="83" bestFit="1" customWidth="1"/>
    <col min="3" max="3" width="4.75" style="83" bestFit="1" customWidth="1"/>
    <col min="4" max="4" width="11.25" style="83" bestFit="1" customWidth="1"/>
    <col min="5" max="5" width="9" style="83" bestFit="1" customWidth="1"/>
    <col min="6" max="6" width="10.5" style="83" bestFit="1" customWidth="1"/>
    <col min="7" max="7" width="11.625" style="83" bestFit="1" customWidth="1"/>
    <col min="8" max="8" width="18.125" style="83" customWidth="1"/>
    <col min="9" max="9" width="11.125" style="83" customWidth="1"/>
    <col min="10" max="10" width="34.875" style="83" customWidth="1"/>
    <col min="11" max="11" width="7.25" style="83" customWidth="1"/>
    <col min="12" max="12" width="8.625" style="83" hidden="1" customWidth="1"/>
    <col min="13" max="21" width="8.625" style="83"/>
    <col min="22" max="25" width="0" style="83" hidden="1" customWidth="1"/>
    <col min="26" max="26" width="10.875" style="83" bestFit="1" customWidth="1"/>
    <col min="27" max="27" width="7.5" style="86" bestFit="1" customWidth="1"/>
    <col min="28" max="28" width="12.125" style="86" bestFit="1" customWidth="1"/>
    <col min="29" max="29" width="11.25" style="87" bestFit="1" customWidth="1"/>
    <col min="30" max="30" width="14.375" style="87" bestFit="1" customWidth="1"/>
    <col min="31" max="31" width="12.25" style="87" bestFit="1" customWidth="1"/>
    <col min="32" max="32" width="17.75" style="83" bestFit="1" customWidth="1"/>
    <col min="33" max="16384" width="8.625" style="83"/>
  </cols>
  <sheetData>
    <row r="1" spans="1:32" ht="33">
      <c r="A1" s="88" t="s">
        <v>38</v>
      </c>
      <c r="B1" s="89" t="s">
        <v>39</v>
      </c>
      <c r="C1" s="89" t="s">
        <v>40</v>
      </c>
      <c r="D1" s="89" t="s">
        <v>41</v>
      </c>
      <c r="E1" s="90" t="s">
        <v>42</v>
      </c>
      <c r="F1" s="90" t="s">
        <v>43</v>
      </c>
      <c r="G1" s="88" t="s">
        <v>32</v>
      </c>
      <c r="H1" s="91" t="s">
        <v>44</v>
      </c>
      <c r="I1" s="88" t="s">
        <v>45</v>
      </c>
      <c r="J1" s="97" t="s">
        <v>52</v>
      </c>
      <c r="Z1" s="95">
        <v>1511.26</v>
      </c>
      <c r="AA1" s="84">
        <v>17</v>
      </c>
      <c r="AB1" s="84" t="s">
        <v>47</v>
      </c>
      <c r="AC1" s="84" t="s">
        <v>43</v>
      </c>
      <c r="AD1" s="96" t="s">
        <v>45</v>
      </c>
      <c r="AE1" s="84" t="s">
        <v>32</v>
      </c>
      <c r="AF1" s="85">
        <v>46196</v>
      </c>
    </row>
    <row r="2" spans="1:32">
      <c r="A2" s="111">
        <v>16724</v>
      </c>
      <c r="B2" s="111"/>
      <c r="C2" s="111"/>
      <c r="D2" s="111"/>
      <c r="E2" s="111" t="s">
        <v>55</v>
      </c>
      <c r="F2" s="111">
        <v>219353621</v>
      </c>
      <c r="G2" s="115">
        <v>4522829284</v>
      </c>
      <c r="H2" s="112" t="s">
        <v>56</v>
      </c>
      <c r="I2" s="102">
        <v>2891.43</v>
      </c>
      <c r="J2" s="104"/>
      <c r="AA2" s="84">
        <f t="shared" ref="AA2:AA24" si="0">IF(A2=0,"",A2)</f>
        <v>16724</v>
      </c>
      <c r="AB2" s="84" t="str">
        <f t="shared" ref="AB2:AC21" si="1">IF($AA2="","",HLOOKUP(AB$1,$A:$Z,ROW($AA2),FALSE))</f>
        <v>0247-08810</v>
      </c>
      <c r="AC2" s="84">
        <f t="shared" si="1"/>
        <v>219353621</v>
      </c>
      <c r="AD2" s="107">
        <f t="shared" ref="AD2:AD14" si="2">ROUND(IF($AA2="","",ROUND(VALUE(SUBSTITUTE(SUBSTITUTE(HLOOKUP(AD$1,$A:$Z,ROW($AA2),FALSE),"₩","")," ",""))*$Z$1,0)),-2)</f>
        <v>4369700</v>
      </c>
      <c r="AE2" s="103">
        <f t="shared" ref="AE2:AE33" si="3">IF($AA2="","",HLOOKUP(AE$1,$A:$Z,ROW($AA2),FALSE))</f>
        <v>4522829284</v>
      </c>
    </row>
    <row r="3" spans="1:32">
      <c r="A3" s="111">
        <v>16724</v>
      </c>
      <c r="B3" s="111"/>
      <c r="C3" s="111"/>
      <c r="D3" s="111"/>
      <c r="E3" s="111" t="s">
        <v>55</v>
      </c>
      <c r="F3" s="111">
        <v>234923618</v>
      </c>
      <c r="G3" s="115">
        <v>4522838505</v>
      </c>
      <c r="H3" s="112" t="s">
        <v>56</v>
      </c>
      <c r="I3" s="102">
        <v>339.43</v>
      </c>
      <c r="J3" s="104"/>
      <c r="AA3" s="84">
        <f t="shared" si="0"/>
        <v>16724</v>
      </c>
      <c r="AB3" s="84" t="str">
        <f t="shared" si="1"/>
        <v>0247-08810</v>
      </c>
      <c r="AC3" s="84">
        <f t="shared" si="1"/>
        <v>234923618</v>
      </c>
      <c r="AD3" s="107">
        <f t="shared" si="2"/>
        <v>513000</v>
      </c>
      <c r="AE3" s="103">
        <f t="shared" si="3"/>
        <v>4522838505</v>
      </c>
    </row>
    <row r="4" spans="1:32">
      <c r="A4" s="111">
        <v>16724</v>
      </c>
      <c r="B4" s="111"/>
      <c r="C4" s="111"/>
      <c r="D4" s="111"/>
      <c r="E4" s="111" t="s">
        <v>57</v>
      </c>
      <c r="F4" s="111">
        <v>180674010</v>
      </c>
      <c r="G4" s="115">
        <v>4522839142</v>
      </c>
      <c r="H4" s="112" t="s">
        <v>58</v>
      </c>
      <c r="I4" s="102">
        <v>4056.93</v>
      </c>
      <c r="J4" s="104"/>
      <c r="AA4" s="84">
        <f t="shared" si="0"/>
        <v>16724</v>
      </c>
      <c r="AB4" s="84" t="str">
        <f t="shared" si="1"/>
        <v>0247-06824</v>
      </c>
      <c r="AC4" s="84">
        <f t="shared" si="1"/>
        <v>180674010</v>
      </c>
      <c r="AD4" s="107">
        <f t="shared" si="2"/>
        <v>6131100</v>
      </c>
      <c r="AE4" s="103">
        <f t="shared" si="3"/>
        <v>4522839142</v>
      </c>
      <c r="AF4" s="113"/>
    </row>
    <row r="5" spans="1:32">
      <c r="A5" s="111">
        <v>16724</v>
      </c>
      <c r="B5" s="111"/>
      <c r="C5" s="111"/>
      <c r="D5" s="111"/>
      <c r="E5" s="111" t="s">
        <v>55</v>
      </c>
      <c r="F5" s="111">
        <v>246714802</v>
      </c>
      <c r="G5" s="115">
        <v>4522865530</v>
      </c>
      <c r="H5" s="112" t="s">
        <v>56</v>
      </c>
      <c r="I5" s="102">
        <v>339.43</v>
      </c>
      <c r="J5" s="104"/>
      <c r="AA5" s="84">
        <f t="shared" si="0"/>
        <v>16724</v>
      </c>
      <c r="AB5" s="84" t="str">
        <f t="shared" si="1"/>
        <v>0247-08810</v>
      </c>
      <c r="AC5" s="84">
        <f t="shared" si="1"/>
        <v>246714802</v>
      </c>
      <c r="AD5" s="107">
        <f t="shared" si="2"/>
        <v>513000</v>
      </c>
      <c r="AE5" s="103">
        <f t="shared" si="3"/>
        <v>4522865530</v>
      </c>
      <c r="AF5" s="108" t="s">
        <v>51</v>
      </c>
    </row>
    <row r="6" spans="1:32">
      <c r="A6" s="111">
        <v>16724</v>
      </c>
      <c r="B6" s="111"/>
      <c r="C6" s="111"/>
      <c r="D6" s="111"/>
      <c r="E6" s="111" t="s">
        <v>53</v>
      </c>
      <c r="F6" s="111">
        <v>169372516</v>
      </c>
      <c r="G6" s="116">
        <v>4522875058</v>
      </c>
      <c r="H6" s="112" t="s">
        <v>54</v>
      </c>
      <c r="I6" s="102">
        <v>1596.93</v>
      </c>
      <c r="J6" s="97"/>
      <c r="AA6" s="84">
        <f t="shared" si="0"/>
        <v>16724</v>
      </c>
      <c r="AB6" s="84" t="str">
        <f t="shared" si="1"/>
        <v>0247-07965</v>
      </c>
      <c r="AC6" s="84">
        <f t="shared" si="1"/>
        <v>169372516</v>
      </c>
      <c r="AD6" s="107">
        <v>2413300</v>
      </c>
      <c r="AE6" s="103">
        <f t="shared" si="3"/>
        <v>4522875058</v>
      </c>
      <c r="AF6" s="109"/>
    </row>
    <row r="7" spans="1:32">
      <c r="A7" s="111">
        <v>16724</v>
      </c>
      <c r="B7" s="111"/>
      <c r="C7" s="111"/>
      <c r="D7" s="111"/>
      <c r="E7" s="111" t="s">
        <v>55</v>
      </c>
      <c r="F7" s="111">
        <v>234923610</v>
      </c>
      <c r="G7" s="115">
        <v>4522875466</v>
      </c>
      <c r="H7" s="112" t="s">
        <v>56</v>
      </c>
      <c r="I7" s="102">
        <v>339.43</v>
      </c>
      <c r="J7" s="97"/>
      <c r="AA7" s="84">
        <f t="shared" si="0"/>
        <v>16724</v>
      </c>
      <c r="AB7" s="84" t="str">
        <f t="shared" si="1"/>
        <v>0247-08810</v>
      </c>
      <c r="AC7" s="84">
        <f t="shared" si="1"/>
        <v>234923610</v>
      </c>
      <c r="AD7" s="107">
        <f t="shared" si="2"/>
        <v>513000</v>
      </c>
      <c r="AE7" s="103">
        <f t="shared" si="3"/>
        <v>4522875466</v>
      </c>
    </row>
    <row r="8" spans="1:32">
      <c r="A8" s="111">
        <v>16724</v>
      </c>
      <c r="B8" s="111"/>
      <c r="C8" s="111"/>
      <c r="D8" s="111"/>
      <c r="E8" s="111" t="s">
        <v>55</v>
      </c>
      <c r="F8" s="111">
        <v>246714906</v>
      </c>
      <c r="G8" s="115">
        <v>4522875365</v>
      </c>
      <c r="H8" s="112" t="s">
        <v>56</v>
      </c>
      <c r="I8" s="102">
        <v>339.43</v>
      </c>
      <c r="J8" s="104"/>
      <c r="AA8" s="84">
        <f t="shared" si="0"/>
        <v>16724</v>
      </c>
      <c r="AB8" s="84" t="str">
        <f t="shared" si="1"/>
        <v>0247-08810</v>
      </c>
      <c r="AC8" s="84">
        <f t="shared" si="1"/>
        <v>246714906</v>
      </c>
      <c r="AD8" s="107">
        <f t="shared" si="2"/>
        <v>513000</v>
      </c>
      <c r="AE8" s="103">
        <f t="shared" si="3"/>
        <v>4522875365</v>
      </c>
    </row>
    <row r="9" spans="1:32">
      <c r="A9" s="111">
        <v>16724</v>
      </c>
      <c r="B9" s="111"/>
      <c r="C9" s="111"/>
      <c r="D9" s="111"/>
      <c r="E9" s="111" t="s">
        <v>55</v>
      </c>
      <c r="F9" s="111">
        <v>240003102</v>
      </c>
      <c r="G9" s="115">
        <v>4522875359</v>
      </c>
      <c r="H9" s="112" t="s">
        <v>56</v>
      </c>
      <c r="I9" s="102">
        <v>339.43</v>
      </c>
      <c r="J9" s="104"/>
      <c r="AA9" s="84">
        <f t="shared" si="0"/>
        <v>16724</v>
      </c>
      <c r="AB9" s="84" t="str">
        <f t="shared" si="1"/>
        <v>0247-08810</v>
      </c>
      <c r="AC9" s="84">
        <f t="shared" si="1"/>
        <v>240003102</v>
      </c>
      <c r="AD9" s="107">
        <f t="shared" si="2"/>
        <v>513000</v>
      </c>
      <c r="AE9" s="103">
        <f t="shared" si="3"/>
        <v>4522875359</v>
      </c>
    </row>
    <row r="10" spans="1:32">
      <c r="A10" s="111">
        <v>16724</v>
      </c>
      <c r="B10" s="111"/>
      <c r="C10" s="111"/>
      <c r="D10" s="111"/>
      <c r="E10" s="111" t="s">
        <v>55</v>
      </c>
      <c r="F10" s="111">
        <v>237274208</v>
      </c>
      <c r="G10" s="116">
        <v>4522875480</v>
      </c>
      <c r="H10" s="112" t="s">
        <v>56</v>
      </c>
      <c r="I10" s="102">
        <v>339.43</v>
      </c>
      <c r="J10" s="104"/>
      <c r="AA10" s="84">
        <f t="shared" si="0"/>
        <v>16724</v>
      </c>
      <c r="AB10" s="84" t="str">
        <f t="shared" si="1"/>
        <v>0247-08810</v>
      </c>
      <c r="AC10" s="84">
        <f t="shared" si="1"/>
        <v>237274208</v>
      </c>
      <c r="AD10" s="107">
        <f t="shared" si="2"/>
        <v>513000</v>
      </c>
      <c r="AE10" s="103">
        <f t="shared" si="3"/>
        <v>4522875480</v>
      </c>
    </row>
    <row r="11" spans="1:32">
      <c r="A11" s="111">
        <v>16724</v>
      </c>
      <c r="B11" s="111"/>
      <c r="C11" s="111"/>
      <c r="D11" s="111"/>
      <c r="E11" s="111" t="s">
        <v>55</v>
      </c>
      <c r="F11" s="111">
        <v>238339802</v>
      </c>
      <c r="G11" s="115">
        <v>4522875397</v>
      </c>
      <c r="H11" s="112" t="s">
        <v>56</v>
      </c>
      <c r="I11" s="102">
        <v>339.43</v>
      </c>
      <c r="J11" s="97"/>
      <c r="AA11" s="84">
        <f t="shared" si="0"/>
        <v>16724</v>
      </c>
      <c r="AB11" s="84" t="str">
        <f t="shared" si="1"/>
        <v>0247-08810</v>
      </c>
      <c r="AC11" s="84">
        <f t="shared" si="1"/>
        <v>238339802</v>
      </c>
      <c r="AD11" s="107">
        <f t="shared" si="2"/>
        <v>513000</v>
      </c>
      <c r="AE11" s="103">
        <f t="shared" si="3"/>
        <v>4522875397</v>
      </c>
    </row>
    <row r="12" spans="1:32">
      <c r="A12" s="111">
        <v>16724</v>
      </c>
      <c r="B12" s="111"/>
      <c r="C12" s="111"/>
      <c r="D12" s="111"/>
      <c r="E12" s="111" t="s">
        <v>55</v>
      </c>
      <c r="F12" s="111">
        <v>219353612</v>
      </c>
      <c r="G12" s="115">
        <v>4522875459</v>
      </c>
      <c r="H12" s="112" t="s">
        <v>56</v>
      </c>
      <c r="I12" s="102">
        <v>339.43</v>
      </c>
      <c r="J12" s="97"/>
      <c r="AA12" s="84">
        <f t="shared" si="0"/>
        <v>16724</v>
      </c>
      <c r="AB12" s="84" t="str">
        <f t="shared" si="1"/>
        <v>0247-08810</v>
      </c>
      <c r="AC12" s="84">
        <f t="shared" si="1"/>
        <v>219353612</v>
      </c>
      <c r="AD12" s="107">
        <f t="shared" si="2"/>
        <v>513000</v>
      </c>
      <c r="AE12" s="103">
        <f t="shared" si="3"/>
        <v>4522875459</v>
      </c>
    </row>
    <row r="13" spans="1:32">
      <c r="A13" s="111">
        <v>16724</v>
      </c>
      <c r="B13" s="111"/>
      <c r="C13" s="111"/>
      <c r="D13" s="111"/>
      <c r="E13" s="111" t="s">
        <v>55</v>
      </c>
      <c r="F13" s="111">
        <v>231454603</v>
      </c>
      <c r="G13" s="115">
        <v>4522875435</v>
      </c>
      <c r="H13" s="112" t="s">
        <v>56</v>
      </c>
      <c r="I13" s="102">
        <v>339.43</v>
      </c>
      <c r="J13" s="97"/>
      <c r="AA13" s="84">
        <f t="shared" si="0"/>
        <v>16724</v>
      </c>
      <c r="AB13" s="84" t="str">
        <f t="shared" si="1"/>
        <v>0247-08810</v>
      </c>
      <c r="AC13" s="84">
        <f t="shared" si="1"/>
        <v>231454603</v>
      </c>
      <c r="AD13" s="107">
        <f t="shared" si="2"/>
        <v>513000</v>
      </c>
      <c r="AE13" s="103">
        <f t="shared" si="3"/>
        <v>4522875435</v>
      </c>
    </row>
    <row r="14" spans="1:32">
      <c r="A14" s="111">
        <v>16724</v>
      </c>
      <c r="B14" s="111"/>
      <c r="C14" s="111"/>
      <c r="D14" s="111"/>
      <c r="E14" s="111" t="s">
        <v>55</v>
      </c>
      <c r="F14" s="111">
        <v>137485306</v>
      </c>
      <c r="G14" s="115">
        <v>4522866605</v>
      </c>
      <c r="H14" s="112" t="s">
        <v>59</v>
      </c>
      <c r="I14" s="102">
        <v>339.43</v>
      </c>
      <c r="J14" s="104"/>
      <c r="AA14" s="84">
        <f t="shared" si="0"/>
        <v>16724</v>
      </c>
      <c r="AB14" s="84" t="str">
        <f t="shared" si="1"/>
        <v>0247-05612</v>
      </c>
      <c r="AC14" s="84">
        <f t="shared" si="1"/>
        <v>137485306</v>
      </c>
      <c r="AD14" s="107">
        <f t="shared" si="2"/>
        <v>513000</v>
      </c>
      <c r="AE14" s="103">
        <f t="shared" si="3"/>
        <v>4522866605</v>
      </c>
    </row>
    <row r="15" spans="1:32">
      <c r="A15" s="111">
        <v>16724</v>
      </c>
      <c r="B15" s="111"/>
      <c r="C15" s="111"/>
      <c r="D15" s="111"/>
      <c r="E15" s="111" t="s">
        <v>60</v>
      </c>
      <c r="F15" s="111">
        <v>125139908</v>
      </c>
      <c r="G15" s="115">
        <v>4522875887</v>
      </c>
      <c r="H15" s="112" t="s">
        <v>61</v>
      </c>
      <c r="I15" s="102">
        <v>2890.93</v>
      </c>
      <c r="J15" s="104"/>
      <c r="AA15" s="84">
        <f t="shared" si="0"/>
        <v>16724</v>
      </c>
      <c r="AB15" s="84" t="str">
        <f t="shared" si="1"/>
        <v>0247-04585</v>
      </c>
      <c r="AC15" s="84">
        <f t="shared" si="1"/>
        <v>125139908</v>
      </c>
      <c r="AD15" s="107">
        <f t="shared" ref="AD15:AD33" si="4">ROUND(IF($AA15="","",ROUND(VALUE(SUBSTITUTE(SUBSTITUTE(HLOOKUP(AD$1,$A:$Z,ROW($AA15),FALSE),"₩","")," ",""))*$Z$1,0)),-2)</f>
        <v>4368900</v>
      </c>
      <c r="AE15" s="103">
        <f t="shared" si="3"/>
        <v>4522875887</v>
      </c>
    </row>
    <row r="16" spans="1:32">
      <c r="A16" s="111">
        <v>16724</v>
      </c>
      <c r="B16" s="111"/>
      <c r="C16" s="111"/>
      <c r="D16" s="111"/>
      <c r="E16" s="111" t="s">
        <v>55</v>
      </c>
      <c r="F16" s="111">
        <v>233207205</v>
      </c>
      <c r="G16" s="115">
        <v>4522866561</v>
      </c>
      <c r="H16" s="112" t="s">
        <v>59</v>
      </c>
      <c r="I16" s="102">
        <v>339.43</v>
      </c>
      <c r="J16" s="97"/>
      <c r="AA16" s="84">
        <f t="shared" si="0"/>
        <v>16724</v>
      </c>
      <c r="AB16" s="84" t="str">
        <f t="shared" si="1"/>
        <v>0247-05612</v>
      </c>
      <c r="AC16" s="84">
        <f t="shared" si="1"/>
        <v>233207205</v>
      </c>
      <c r="AD16" s="107">
        <f t="shared" si="4"/>
        <v>513000</v>
      </c>
      <c r="AE16" s="103">
        <f t="shared" si="3"/>
        <v>4522866561</v>
      </c>
    </row>
    <row r="17" spans="1:33">
      <c r="A17" s="111">
        <v>16724</v>
      </c>
      <c r="B17" s="111"/>
      <c r="C17" s="111"/>
      <c r="D17" s="111"/>
      <c r="E17" s="111" t="s">
        <v>55</v>
      </c>
      <c r="F17" s="111">
        <v>127487001</v>
      </c>
      <c r="G17" s="100">
        <v>4522876043</v>
      </c>
      <c r="H17" s="112" t="s">
        <v>59</v>
      </c>
      <c r="I17" s="102">
        <v>339.43</v>
      </c>
      <c r="J17" s="97"/>
      <c r="AA17" s="84">
        <f t="shared" si="0"/>
        <v>16724</v>
      </c>
      <c r="AB17" s="84" t="str">
        <f t="shared" si="1"/>
        <v>0247-05612</v>
      </c>
      <c r="AC17" s="84">
        <f t="shared" si="1"/>
        <v>127487001</v>
      </c>
      <c r="AD17" s="107">
        <f t="shared" si="4"/>
        <v>513000</v>
      </c>
      <c r="AE17" s="103">
        <f t="shared" si="3"/>
        <v>4522876043</v>
      </c>
    </row>
    <row r="18" spans="1:33">
      <c r="A18" s="111">
        <v>16724</v>
      </c>
      <c r="B18" s="111"/>
      <c r="C18" s="111"/>
      <c r="D18" s="111"/>
      <c r="E18" s="111" t="s">
        <v>55</v>
      </c>
      <c r="F18" s="111">
        <v>232489304</v>
      </c>
      <c r="G18" s="100">
        <v>4522885089</v>
      </c>
      <c r="H18" s="112" t="s">
        <v>56</v>
      </c>
      <c r="I18" s="102">
        <v>339.43</v>
      </c>
      <c r="J18" s="97"/>
      <c r="AA18" s="84">
        <f t="shared" si="0"/>
        <v>16724</v>
      </c>
      <c r="AB18" s="84" t="str">
        <f t="shared" si="1"/>
        <v>0247-08810</v>
      </c>
      <c r="AC18" s="84">
        <f t="shared" si="1"/>
        <v>232489304</v>
      </c>
      <c r="AD18" s="107">
        <f t="shared" si="4"/>
        <v>513000</v>
      </c>
      <c r="AE18" s="103">
        <f t="shared" si="3"/>
        <v>4522885089</v>
      </c>
    </row>
    <row r="19" spans="1:33">
      <c r="A19" s="111"/>
      <c r="B19" s="111"/>
      <c r="C19" s="111"/>
      <c r="D19" s="111"/>
      <c r="E19" s="111"/>
      <c r="F19" s="111"/>
      <c r="G19" s="100"/>
      <c r="H19" s="112"/>
      <c r="I19" s="102"/>
      <c r="J19" s="97"/>
      <c r="AA19" s="84" t="str">
        <f t="shared" si="0"/>
        <v/>
      </c>
      <c r="AB19" s="84" t="str">
        <f t="shared" si="1"/>
        <v/>
      </c>
      <c r="AC19" s="84" t="str">
        <f t="shared" si="1"/>
        <v/>
      </c>
      <c r="AD19" s="107" t="e">
        <f t="shared" si="4"/>
        <v>#VALUE!</v>
      </c>
      <c r="AE19" s="103" t="str">
        <f t="shared" si="3"/>
        <v/>
      </c>
    </row>
    <row r="20" spans="1:33">
      <c r="A20" s="111"/>
      <c r="B20" s="111"/>
      <c r="C20" s="111"/>
      <c r="D20" s="111"/>
      <c r="E20" s="111"/>
      <c r="F20" s="111"/>
      <c r="G20" s="100"/>
      <c r="H20" s="112"/>
      <c r="I20" s="102"/>
      <c r="J20" s="97"/>
      <c r="AA20" s="84" t="str">
        <f t="shared" si="0"/>
        <v/>
      </c>
      <c r="AB20" s="84" t="str">
        <f t="shared" si="1"/>
        <v/>
      </c>
      <c r="AC20" s="84" t="str">
        <f t="shared" si="1"/>
        <v/>
      </c>
      <c r="AD20" s="107" t="e">
        <f t="shared" si="4"/>
        <v>#VALUE!</v>
      </c>
      <c r="AE20" s="103" t="str">
        <f t="shared" si="3"/>
        <v/>
      </c>
      <c r="AG20" s="83">
        <v>494.43</v>
      </c>
    </row>
    <row r="21" spans="1:33">
      <c r="A21" s="111"/>
      <c r="B21" s="111"/>
      <c r="C21" s="111"/>
      <c r="D21" s="111"/>
      <c r="E21" s="111"/>
      <c r="F21" s="111"/>
      <c r="G21" s="100"/>
      <c r="H21" s="112"/>
      <c r="I21" s="102"/>
      <c r="J21" s="97"/>
      <c r="AA21" s="84" t="str">
        <f t="shared" si="0"/>
        <v/>
      </c>
      <c r="AB21" s="84" t="str">
        <f t="shared" si="1"/>
        <v/>
      </c>
      <c r="AC21" s="84" t="str">
        <f t="shared" si="1"/>
        <v/>
      </c>
      <c r="AD21" s="107" t="e">
        <f t="shared" si="4"/>
        <v>#VALUE!</v>
      </c>
      <c r="AE21" s="103" t="str">
        <f t="shared" si="3"/>
        <v/>
      </c>
    </row>
    <row r="22" spans="1:33">
      <c r="A22" s="111"/>
      <c r="B22" s="111"/>
      <c r="C22" s="111"/>
      <c r="D22" s="111"/>
      <c r="E22" s="111"/>
      <c r="F22" s="111"/>
      <c r="G22" s="100"/>
      <c r="H22" s="112"/>
      <c r="I22" s="102"/>
      <c r="J22" s="104"/>
      <c r="AA22" s="84" t="str">
        <f t="shared" si="0"/>
        <v/>
      </c>
      <c r="AB22" s="84" t="str">
        <f t="shared" ref="AB22:AC41" si="5">IF($AA22="","",HLOOKUP(AB$1,$A:$Z,ROW($AA22),FALSE))</f>
        <v/>
      </c>
      <c r="AC22" s="84" t="str">
        <f t="shared" si="5"/>
        <v/>
      </c>
      <c r="AD22" s="107" t="e">
        <f t="shared" si="4"/>
        <v>#VALUE!</v>
      </c>
      <c r="AE22" s="103" t="str">
        <f t="shared" si="3"/>
        <v/>
      </c>
    </row>
    <row r="23" spans="1:33">
      <c r="A23" s="111"/>
      <c r="B23" s="111"/>
      <c r="C23" s="111"/>
      <c r="D23" s="111"/>
      <c r="E23" s="111"/>
      <c r="F23" s="111"/>
      <c r="G23" s="100"/>
      <c r="H23" s="112"/>
      <c r="I23" s="102"/>
      <c r="J23" s="104"/>
      <c r="AA23" s="84" t="str">
        <f t="shared" si="0"/>
        <v/>
      </c>
      <c r="AB23" s="84" t="str">
        <f t="shared" si="5"/>
        <v/>
      </c>
      <c r="AC23" s="84" t="str">
        <f t="shared" si="5"/>
        <v/>
      </c>
      <c r="AD23" s="107" t="e">
        <f t="shared" si="4"/>
        <v>#VALUE!</v>
      </c>
      <c r="AE23" s="103" t="str">
        <f t="shared" si="3"/>
        <v/>
      </c>
    </row>
    <row r="24" spans="1:33">
      <c r="A24" s="111"/>
      <c r="B24" s="111"/>
      <c r="C24" s="111"/>
      <c r="D24" s="111"/>
      <c r="E24" s="111"/>
      <c r="F24" s="111"/>
      <c r="G24" s="100"/>
      <c r="H24" s="112"/>
      <c r="I24" s="102"/>
      <c r="J24" s="97"/>
      <c r="AA24" s="84" t="str">
        <f t="shared" si="0"/>
        <v/>
      </c>
      <c r="AB24" s="84" t="str">
        <f t="shared" si="5"/>
        <v/>
      </c>
      <c r="AC24" s="84" t="str">
        <f t="shared" si="5"/>
        <v/>
      </c>
      <c r="AD24" s="107" t="e">
        <f t="shared" si="4"/>
        <v>#VALUE!</v>
      </c>
      <c r="AE24" s="103" t="str">
        <f t="shared" si="3"/>
        <v/>
      </c>
    </row>
    <row r="25" spans="1:33">
      <c r="A25" s="111"/>
      <c r="B25" s="111"/>
      <c r="C25" s="111"/>
      <c r="D25" s="111"/>
      <c r="E25" s="111"/>
      <c r="F25" s="111"/>
      <c r="G25" s="100"/>
      <c r="H25" s="112"/>
      <c r="I25" s="102"/>
      <c r="J25" s="97"/>
      <c r="AA25" s="84" t="str">
        <f t="shared" ref="AA25" si="6">IF(A25=0,"",A25)</f>
        <v/>
      </c>
      <c r="AB25" s="84" t="str">
        <f t="shared" si="5"/>
        <v/>
      </c>
      <c r="AC25" s="84" t="str">
        <f t="shared" si="5"/>
        <v/>
      </c>
      <c r="AD25" s="107" t="e">
        <f t="shared" si="4"/>
        <v>#VALUE!</v>
      </c>
      <c r="AE25" s="103" t="str">
        <f t="shared" si="3"/>
        <v/>
      </c>
    </row>
    <row r="26" spans="1:33">
      <c r="A26" s="111"/>
      <c r="B26" s="111"/>
      <c r="C26" s="111"/>
      <c r="D26" s="111"/>
      <c r="E26" s="111"/>
      <c r="F26" s="111"/>
      <c r="G26" s="100"/>
      <c r="H26" s="112"/>
      <c r="I26" s="102"/>
      <c r="J26" s="97"/>
      <c r="AA26" s="84" t="str">
        <f t="shared" ref="AA26" si="7">IF(A26=0,"",A26)</f>
        <v/>
      </c>
      <c r="AB26" s="84" t="str">
        <f t="shared" si="5"/>
        <v/>
      </c>
      <c r="AC26" s="84" t="str">
        <f t="shared" si="5"/>
        <v/>
      </c>
      <c r="AD26" s="107" t="e">
        <f t="shared" si="4"/>
        <v>#VALUE!</v>
      </c>
      <c r="AE26" s="103" t="str">
        <f t="shared" si="3"/>
        <v/>
      </c>
    </row>
    <row r="27" spans="1:33">
      <c r="A27" s="111"/>
      <c r="B27" s="111"/>
      <c r="C27" s="111"/>
      <c r="D27" s="111"/>
      <c r="E27" s="111"/>
      <c r="F27" s="111"/>
      <c r="G27" s="100"/>
      <c r="H27" s="112"/>
      <c r="I27" s="102"/>
      <c r="J27" s="104"/>
      <c r="AA27" s="84" t="str">
        <f t="shared" ref="AA27" si="8">IF(A27=0,"",A27)</f>
        <v/>
      </c>
      <c r="AB27" s="84" t="str">
        <f t="shared" si="5"/>
        <v/>
      </c>
      <c r="AC27" s="84" t="str">
        <f t="shared" si="5"/>
        <v/>
      </c>
      <c r="AD27" s="107" t="e">
        <f t="shared" si="4"/>
        <v>#VALUE!</v>
      </c>
      <c r="AE27" s="103" t="str">
        <f t="shared" si="3"/>
        <v/>
      </c>
    </row>
    <row r="28" spans="1:33">
      <c r="A28" s="111"/>
      <c r="B28" s="111"/>
      <c r="C28" s="111"/>
      <c r="D28" s="111"/>
      <c r="E28" s="111"/>
      <c r="F28" s="111"/>
      <c r="G28" s="100"/>
      <c r="H28" s="112"/>
      <c r="I28" s="102"/>
      <c r="J28" s="104"/>
      <c r="AA28" s="84" t="str">
        <f t="shared" ref="AA28" si="9">IF(A28=0,"",A28)</f>
        <v/>
      </c>
      <c r="AB28" s="84" t="str">
        <f t="shared" si="5"/>
        <v/>
      </c>
      <c r="AC28" s="84" t="str">
        <f t="shared" si="5"/>
        <v/>
      </c>
      <c r="AD28" s="107" t="e">
        <f t="shared" si="4"/>
        <v>#VALUE!</v>
      </c>
      <c r="AE28" s="103" t="str">
        <f t="shared" si="3"/>
        <v/>
      </c>
    </row>
    <row r="29" spans="1:33">
      <c r="A29" s="111"/>
      <c r="B29" s="111"/>
      <c r="C29" s="111"/>
      <c r="D29" s="111"/>
      <c r="E29" s="111"/>
      <c r="F29" s="111"/>
      <c r="G29" s="100"/>
      <c r="H29" s="112"/>
      <c r="I29" s="102"/>
      <c r="J29" s="104"/>
      <c r="AA29" s="84" t="str">
        <f t="shared" ref="AA29" si="10">IF(A29=0,"",A29)</f>
        <v/>
      </c>
      <c r="AB29" s="84" t="str">
        <f t="shared" si="5"/>
        <v/>
      </c>
      <c r="AC29" s="84" t="str">
        <f t="shared" si="5"/>
        <v/>
      </c>
      <c r="AD29" s="107" t="e">
        <f t="shared" si="4"/>
        <v>#VALUE!</v>
      </c>
      <c r="AE29" s="103" t="str">
        <f t="shared" si="3"/>
        <v/>
      </c>
    </row>
    <row r="30" spans="1:33">
      <c r="A30" s="111"/>
      <c r="B30" s="111"/>
      <c r="C30" s="111"/>
      <c r="D30" s="111"/>
      <c r="E30" s="111"/>
      <c r="F30" s="111"/>
      <c r="G30" s="100"/>
      <c r="H30" s="112"/>
      <c r="I30" s="102"/>
      <c r="J30" s="97"/>
      <c r="AA30" s="84" t="str">
        <f t="shared" ref="AA30:AA34" si="11">IF(A30=0,"",A30)</f>
        <v/>
      </c>
      <c r="AB30" s="84" t="str">
        <f t="shared" si="5"/>
        <v/>
      </c>
      <c r="AC30" s="84" t="str">
        <f t="shared" si="5"/>
        <v/>
      </c>
      <c r="AD30" s="107" t="e">
        <f t="shared" si="4"/>
        <v>#VALUE!</v>
      </c>
      <c r="AE30" s="103" t="str">
        <f t="shared" si="3"/>
        <v/>
      </c>
    </row>
    <row r="31" spans="1:33">
      <c r="A31" s="111"/>
      <c r="B31" s="111"/>
      <c r="C31" s="111"/>
      <c r="D31" s="111"/>
      <c r="E31" s="111"/>
      <c r="F31" s="111"/>
      <c r="G31" s="100"/>
      <c r="H31" s="112"/>
      <c r="I31" s="102"/>
      <c r="J31" s="97"/>
      <c r="AA31" s="84" t="str">
        <f t="shared" si="11"/>
        <v/>
      </c>
      <c r="AB31" s="84" t="str">
        <f t="shared" si="5"/>
        <v/>
      </c>
      <c r="AC31" s="84" t="str">
        <f t="shared" si="5"/>
        <v/>
      </c>
      <c r="AD31" s="107" t="e">
        <f t="shared" si="4"/>
        <v>#VALUE!</v>
      </c>
      <c r="AE31" s="103" t="str">
        <f t="shared" si="3"/>
        <v/>
      </c>
    </row>
    <row r="32" spans="1:33">
      <c r="A32" s="111"/>
      <c r="B32" s="111"/>
      <c r="C32" s="111"/>
      <c r="D32" s="111"/>
      <c r="E32" s="111"/>
      <c r="F32" s="111"/>
      <c r="G32" s="100"/>
      <c r="H32" s="112"/>
      <c r="I32" s="102"/>
      <c r="J32" s="104"/>
      <c r="AA32" s="84" t="str">
        <f t="shared" si="11"/>
        <v/>
      </c>
      <c r="AB32" s="84" t="str">
        <f t="shared" si="5"/>
        <v/>
      </c>
      <c r="AC32" s="84" t="str">
        <f t="shared" si="5"/>
        <v/>
      </c>
      <c r="AD32" s="107" t="e">
        <f t="shared" si="4"/>
        <v>#VALUE!</v>
      </c>
      <c r="AE32" s="103" t="str">
        <f t="shared" si="3"/>
        <v/>
      </c>
    </row>
    <row r="33" spans="1:31">
      <c r="A33" s="111"/>
      <c r="B33" s="111"/>
      <c r="C33" s="111"/>
      <c r="D33" s="111"/>
      <c r="E33" s="111"/>
      <c r="F33" s="111"/>
      <c r="G33" s="100"/>
      <c r="H33" s="112"/>
      <c r="I33" s="102"/>
      <c r="J33" s="105"/>
      <c r="AA33" s="84" t="str">
        <f t="shared" si="11"/>
        <v/>
      </c>
      <c r="AB33" s="84" t="str">
        <f t="shared" si="5"/>
        <v/>
      </c>
      <c r="AC33" s="84" t="str">
        <f t="shared" si="5"/>
        <v/>
      </c>
      <c r="AD33" s="107" t="e">
        <f t="shared" si="4"/>
        <v>#VALUE!</v>
      </c>
      <c r="AE33" s="103" t="str">
        <f t="shared" si="3"/>
        <v/>
      </c>
    </row>
    <row r="34" spans="1:31">
      <c r="A34" s="111"/>
      <c r="B34" s="111"/>
      <c r="C34" s="111"/>
      <c r="D34" s="111"/>
      <c r="E34" s="111"/>
      <c r="F34" s="111"/>
      <c r="G34" s="100"/>
      <c r="H34" s="112"/>
      <c r="I34" s="102"/>
      <c r="J34" s="98"/>
      <c r="AA34" s="84" t="str">
        <f t="shared" si="11"/>
        <v/>
      </c>
      <c r="AB34" s="84" t="str">
        <f t="shared" si="5"/>
        <v/>
      </c>
      <c r="AC34" s="84" t="str">
        <f t="shared" si="5"/>
        <v/>
      </c>
      <c r="AD34" s="107" t="e">
        <f t="shared" ref="AD34:AD65" si="12">ROUND(IF($AA34="","",ROUND(VALUE(SUBSTITUTE(SUBSTITUTE(HLOOKUP(AD$1,$A:$Z,ROW($AA34),FALSE),"₩","")," ",""))*$Z$1,0)),-2)</f>
        <v>#VALUE!</v>
      </c>
      <c r="AE34" s="103" t="str">
        <f t="shared" ref="AE34:AE65" si="13">IF($AA34="","",HLOOKUP(AE$1,$A:$Z,ROW($AA34),FALSE))</f>
        <v/>
      </c>
    </row>
    <row r="35" spans="1:31">
      <c r="A35" s="111"/>
      <c r="B35" s="111"/>
      <c r="C35" s="111"/>
      <c r="D35" s="111"/>
      <c r="E35" s="111"/>
      <c r="F35" s="111"/>
      <c r="G35" s="100"/>
      <c r="H35" s="112"/>
      <c r="I35" s="102"/>
      <c r="J35" s="105"/>
      <c r="AA35" s="84" t="str">
        <f t="shared" ref="AA35:AA58" si="14">IF(A35=0,"",A35)</f>
        <v/>
      </c>
      <c r="AB35" s="84" t="str">
        <f t="shared" si="5"/>
        <v/>
      </c>
      <c r="AC35" s="84" t="str">
        <f t="shared" si="5"/>
        <v/>
      </c>
      <c r="AD35" s="107" t="e">
        <f t="shared" si="12"/>
        <v>#VALUE!</v>
      </c>
      <c r="AE35" s="103" t="str">
        <f t="shared" si="13"/>
        <v/>
      </c>
    </row>
    <row r="36" spans="1:31">
      <c r="A36" s="111"/>
      <c r="B36" s="111"/>
      <c r="C36" s="111"/>
      <c r="D36" s="111"/>
      <c r="E36" s="111"/>
      <c r="F36" s="111"/>
      <c r="G36" s="100"/>
      <c r="H36" s="112"/>
      <c r="I36" s="102"/>
      <c r="J36" s="104"/>
      <c r="AA36" s="84" t="str">
        <f t="shared" si="14"/>
        <v/>
      </c>
      <c r="AB36" s="84" t="str">
        <f t="shared" si="5"/>
        <v/>
      </c>
      <c r="AC36" s="84" t="str">
        <f t="shared" si="5"/>
        <v/>
      </c>
      <c r="AD36" s="107" t="e">
        <f t="shared" si="12"/>
        <v>#VALUE!</v>
      </c>
      <c r="AE36" s="103" t="str">
        <f t="shared" si="13"/>
        <v/>
      </c>
    </row>
    <row r="37" spans="1:31">
      <c r="A37" s="111"/>
      <c r="B37" s="111"/>
      <c r="C37" s="111"/>
      <c r="D37" s="111"/>
      <c r="E37" s="111"/>
      <c r="F37" s="111"/>
      <c r="G37" s="100"/>
      <c r="H37" s="112"/>
      <c r="I37" s="102"/>
      <c r="J37" s="97"/>
      <c r="AA37" s="84" t="str">
        <f t="shared" si="14"/>
        <v/>
      </c>
      <c r="AB37" s="84" t="str">
        <f t="shared" si="5"/>
        <v/>
      </c>
      <c r="AC37" s="84" t="str">
        <f t="shared" si="5"/>
        <v/>
      </c>
      <c r="AD37" s="107" t="e">
        <f t="shared" si="12"/>
        <v>#VALUE!</v>
      </c>
      <c r="AE37" s="103" t="str">
        <f t="shared" si="13"/>
        <v/>
      </c>
    </row>
    <row r="38" spans="1:31">
      <c r="A38" s="111"/>
      <c r="B38" s="111"/>
      <c r="C38" s="111"/>
      <c r="D38" s="111"/>
      <c r="E38" s="111"/>
      <c r="F38" s="111"/>
      <c r="G38" s="100"/>
      <c r="H38" s="112"/>
      <c r="I38" s="102"/>
      <c r="J38" s="110"/>
      <c r="AA38" s="84" t="str">
        <f t="shared" si="14"/>
        <v/>
      </c>
      <c r="AB38" s="84" t="str">
        <f t="shared" si="5"/>
        <v/>
      </c>
      <c r="AC38" s="84" t="str">
        <f t="shared" si="5"/>
        <v/>
      </c>
      <c r="AD38" s="107" t="e">
        <f t="shared" si="12"/>
        <v>#VALUE!</v>
      </c>
      <c r="AE38" s="103" t="str">
        <f t="shared" si="13"/>
        <v/>
      </c>
    </row>
    <row r="39" spans="1:31" ht="27.95" customHeight="1">
      <c r="A39" s="111"/>
      <c r="B39" s="111"/>
      <c r="C39" s="111"/>
      <c r="D39" s="111"/>
      <c r="E39" s="111"/>
      <c r="F39" s="111"/>
      <c r="G39" s="100"/>
      <c r="H39" s="112"/>
      <c r="I39" s="102"/>
      <c r="J39" s="104"/>
      <c r="AA39" s="84" t="str">
        <f t="shared" si="14"/>
        <v/>
      </c>
      <c r="AB39" s="84" t="str">
        <f t="shared" si="5"/>
        <v/>
      </c>
      <c r="AC39" s="84" t="str">
        <f t="shared" si="5"/>
        <v/>
      </c>
      <c r="AD39" s="107" t="e">
        <f t="shared" si="12"/>
        <v>#VALUE!</v>
      </c>
      <c r="AE39" s="103" t="str">
        <f t="shared" si="13"/>
        <v/>
      </c>
    </row>
    <row r="40" spans="1:31">
      <c r="A40" s="111"/>
      <c r="B40" s="111"/>
      <c r="C40" s="111"/>
      <c r="D40" s="111"/>
      <c r="E40" s="111"/>
      <c r="F40" s="111"/>
      <c r="G40" s="100"/>
      <c r="H40" s="112"/>
      <c r="I40" s="102"/>
      <c r="J40" s="105"/>
      <c r="AA40" s="84" t="str">
        <f t="shared" si="14"/>
        <v/>
      </c>
      <c r="AB40" s="84" t="str">
        <f t="shared" si="5"/>
        <v/>
      </c>
      <c r="AC40" s="84" t="str">
        <f t="shared" si="5"/>
        <v/>
      </c>
      <c r="AD40" s="107" t="e">
        <f t="shared" si="12"/>
        <v>#VALUE!</v>
      </c>
      <c r="AE40" s="103" t="str">
        <f t="shared" si="13"/>
        <v/>
      </c>
    </row>
    <row r="41" spans="1:31">
      <c r="A41" s="111"/>
      <c r="B41" s="111"/>
      <c r="C41" s="111"/>
      <c r="D41" s="111"/>
      <c r="E41" s="111"/>
      <c r="F41" s="111"/>
      <c r="G41" s="100"/>
      <c r="H41" s="112"/>
      <c r="I41" s="102"/>
      <c r="J41" s="97"/>
      <c r="AA41" s="84" t="str">
        <f t="shared" si="14"/>
        <v/>
      </c>
      <c r="AB41" s="84" t="str">
        <f t="shared" si="5"/>
        <v/>
      </c>
      <c r="AC41" s="84" t="str">
        <f t="shared" si="5"/>
        <v/>
      </c>
      <c r="AD41" s="107" t="e">
        <f t="shared" si="12"/>
        <v>#VALUE!</v>
      </c>
      <c r="AE41" s="103" t="str">
        <f t="shared" si="13"/>
        <v/>
      </c>
    </row>
    <row r="42" spans="1:31">
      <c r="A42" s="111"/>
      <c r="B42" s="111"/>
      <c r="C42" s="111"/>
      <c r="D42" s="111"/>
      <c r="E42" s="111"/>
      <c r="F42" s="111"/>
      <c r="G42" s="100"/>
      <c r="H42" s="112"/>
      <c r="I42" s="102"/>
      <c r="J42" s="104"/>
      <c r="AA42" s="84" t="str">
        <f t="shared" si="14"/>
        <v/>
      </c>
      <c r="AB42" s="84" t="str">
        <f t="shared" ref="AB42:AC61" si="15">IF($AA42="","",HLOOKUP(AB$1,$A:$Z,ROW($AA42),FALSE))</f>
        <v/>
      </c>
      <c r="AC42" s="84" t="str">
        <f t="shared" si="15"/>
        <v/>
      </c>
      <c r="AD42" s="107" t="e">
        <f t="shared" si="12"/>
        <v>#VALUE!</v>
      </c>
      <c r="AE42" s="103" t="str">
        <f t="shared" si="13"/>
        <v/>
      </c>
    </row>
    <row r="43" spans="1:31" ht="27.95" customHeight="1">
      <c r="A43" s="111"/>
      <c r="B43" s="111"/>
      <c r="C43" s="111"/>
      <c r="D43" s="111"/>
      <c r="E43" s="111"/>
      <c r="F43" s="111"/>
      <c r="G43" s="100"/>
      <c r="H43" s="112"/>
      <c r="I43" s="102"/>
      <c r="J43" s="105"/>
      <c r="AA43" s="84" t="str">
        <f t="shared" si="14"/>
        <v/>
      </c>
      <c r="AB43" s="84" t="str">
        <f t="shared" si="15"/>
        <v/>
      </c>
      <c r="AC43" s="84" t="str">
        <f t="shared" si="15"/>
        <v/>
      </c>
      <c r="AD43" s="107" t="e">
        <f t="shared" si="12"/>
        <v>#VALUE!</v>
      </c>
      <c r="AE43" s="103" t="str">
        <f t="shared" si="13"/>
        <v/>
      </c>
    </row>
    <row r="44" spans="1:31">
      <c r="A44" s="111"/>
      <c r="B44" s="111"/>
      <c r="C44" s="111"/>
      <c r="D44" s="111"/>
      <c r="E44" s="111"/>
      <c r="F44" s="111"/>
      <c r="G44" s="100"/>
      <c r="H44" s="112"/>
      <c r="I44" s="102"/>
      <c r="J44" s="104"/>
      <c r="AA44" s="84" t="str">
        <f t="shared" ref="AA44:AA50" si="16">IF(A44=0,"",A44)</f>
        <v/>
      </c>
      <c r="AB44" s="84" t="str">
        <f t="shared" si="15"/>
        <v/>
      </c>
      <c r="AC44" s="84" t="str">
        <f t="shared" si="15"/>
        <v/>
      </c>
      <c r="AD44" s="106" t="e">
        <f t="shared" si="12"/>
        <v>#VALUE!</v>
      </c>
      <c r="AE44" s="103" t="str">
        <f t="shared" si="13"/>
        <v/>
      </c>
    </row>
    <row r="45" spans="1:31">
      <c r="A45" s="111"/>
      <c r="B45" s="111"/>
      <c r="C45" s="111"/>
      <c r="D45" s="111"/>
      <c r="E45" s="111"/>
      <c r="F45" s="111"/>
      <c r="G45" s="100"/>
      <c r="H45" s="112"/>
      <c r="I45" s="102"/>
      <c r="J45" s="104"/>
      <c r="AA45" s="84" t="str">
        <f t="shared" si="16"/>
        <v/>
      </c>
      <c r="AB45" s="84" t="str">
        <f t="shared" si="15"/>
        <v/>
      </c>
      <c r="AC45" s="84" t="str">
        <f t="shared" si="15"/>
        <v/>
      </c>
      <c r="AD45" s="106" t="e">
        <f t="shared" si="12"/>
        <v>#VALUE!</v>
      </c>
      <c r="AE45" s="103" t="str">
        <f t="shared" si="13"/>
        <v/>
      </c>
    </row>
    <row r="46" spans="1:31">
      <c r="A46" s="111"/>
      <c r="B46" s="111"/>
      <c r="C46" s="111"/>
      <c r="D46" s="111"/>
      <c r="E46" s="111"/>
      <c r="F46" s="111"/>
      <c r="G46" s="100"/>
      <c r="H46" s="112"/>
      <c r="I46" s="102"/>
      <c r="J46" s="104"/>
      <c r="AA46" s="84" t="str">
        <f t="shared" si="16"/>
        <v/>
      </c>
      <c r="AB46" s="84" t="str">
        <f t="shared" si="15"/>
        <v/>
      </c>
      <c r="AC46" s="84" t="str">
        <f t="shared" si="15"/>
        <v/>
      </c>
      <c r="AD46" s="106" t="e">
        <f t="shared" si="12"/>
        <v>#VALUE!</v>
      </c>
      <c r="AE46" s="103" t="str">
        <f t="shared" si="13"/>
        <v/>
      </c>
    </row>
    <row r="47" spans="1:31">
      <c r="A47" s="111"/>
      <c r="B47" s="111"/>
      <c r="C47" s="111"/>
      <c r="D47" s="111"/>
      <c r="E47" s="111"/>
      <c r="F47" s="111"/>
      <c r="G47" s="100"/>
      <c r="H47" s="112"/>
      <c r="I47" s="102"/>
      <c r="J47" s="105"/>
      <c r="AA47" s="84" t="str">
        <f t="shared" si="16"/>
        <v/>
      </c>
      <c r="AB47" s="84" t="str">
        <f t="shared" si="15"/>
        <v/>
      </c>
      <c r="AC47" s="84" t="str">
        <f t="shared" si="15"/>
        <v/>
      </c>
      <c r="AD47" s="106" t="e">
        <f t="shared" si="12"/>
        <v>#VALUE!</v>
      </c>
      <c r="AE47" s="103" t="str">
        <f t="shared" si="13"/>
        <v/>
      </c>
    </row>
    <row r="48" spans="1:31">
      <c r="A48" s="111"/>
      <c r="B48" s="111"/>
      <c r="C48" s="111"/>
      <c r="D48" s="111"/>
      <c r="E48" s="111"/>
      <c r="F48" s="111"/>
      <c r="G48" s="100"/>
      <c r="H48" s="112"/>
      <c r="I48" s="102"/>
      <c r="J48" s="104"/>
      <c r="AA48" s="84" t="str">
        <f t="shared" si="16"/>
        <v/>
      </c>
      <c r="AB48" s="84" t="str">
        <f t="shared" si="15"/>
        <v/>
      </c>
      <c r="AC48" s="84" t="str">
        <f t="shared" si="15"/>
        <v/>
      </c>
      <c r="AD48" s="106" t="e">
        <f t="shared" si="12"/>
        <v>#VALUE!</v>
      </c>
      <c r="AE48" s="103" t="str">
        <f t="shared" si="13"/>
        <v/>
      </c>
    </row>
    <row r="49" spans="1:31">
      <c r="A49" s="111"/>
      <c r="B49" s="111"/>
      <c r="C49" s="111"/>
      <c r="D49" s="111"/>
      <c r="E49" s="111"/>
      <c r="F49" s="111"/>
      <c r="G49" s="100"/>
      <c r="H49" s="112"/>
      <c r="I49" s="102"/>
      <c r="J49" s="105"/>
      <c r="AA49" s="84" t="str">
        <f t="shared" si="16"/>
        <v/>
      </c>
      <c r="AB49" s="84" t="str">
        <f t="shared" si="15"/>
        <v/>
      </c>
      <c r="AC49" s="84" t="str">
        <f t="shared" si="15"/>
        <v/>
      </c>
      <c r="AD49" s="106" t="e">
        <f t="shared" si="12"/>
        <v>#VALUE!</v>
      </c>
      <c r="AE49" s="103" t="str">
        <f t="shared" si="13"/>
        <v/>
      </c>
    </row>
    <row r="50" spans="1:31" ht="27.95" customHeight="1">
      <c r="A50" s="111"/>
      <c r="B50" s="111"/>
      <c r="C50" s="111"/>
      <c r="D50" s="111"/>
      <c r="E50" s="111"/>
      <c r="F50" s="111"/>
      <c r="G50" s="100"/>
      <c r="H50" s="112"/>
      <c r="I50" s="102"/>
      <c r="J50" s="105"/>
      <c r="AA50" s="84" t="str">
        <f t="shared" si="16"/>
        <v/>
      </c>
      <c r="AB50" s="84" t="str">
        <f t="shared" si="15"/>
        <v/>
      </c>
      <c r="AC50" s="84" t="str">
        <f t="shared" si="15"/>
        <v/>
      </c>
      <c r="AD50" s="106" t="e">
        <f t="shared" si="12"/>
        <v>#VALUE!</v>
      </c>
      <c r="AE50" s="103" t="str">
        <f t="shared" si="13"/>
        <v/>
      </c>
    </row>
    <row r="51" spans="1:31" ht="27.95" customHeight="1">
      <c r="A51" s="111"/>
      <c r="B51" s="111"/>
      <c r="C51" s="111"/>
      <c r="D51" s="111"/>
      <c r="E51" s="111"/>
      <c r="F51" s="111"/>
      <c r="G51" s="100"/>
      <c r="H51" s="112"/>
      <c r="I51" s="102"/>
      <c r="J51" s="105"/>
      <c r="AA51" s="84" t="str">
        <f t="shared" ref="AA51:AA55" si="17">IF(A51=0,"",A51)</f>
        <v/>
      </c>
      <c r="AB51" s="84" t="str">
        <f t="shared" si="15"/>
        <v/>
      </c>
      <c r="AC51" s="84" t="str">
        <f t="shared" si="15"/>
        <v/>
      </c>
      <c r="AD51" s="106" t="e">
        <f t="shared" si="12"/>
        <v>#VALUE!</v>
      </c>
      <c r="AE51" s="103" t="str">
        <f t="shared" si="13"/>
        <v/>
      </c>
    </row>
    <row r="52" spans="1:31">
      <c r="A52" s="111"/>
      <c r="B52" s="111"/>
      <c r="C52" s="111"/>
      <c r="D52" s="111"/>
      <c r="E52" s="111"/>
      <c r="F52" s="111"/>
      <c r="G52" s="100"/>
      <c r="H52" s="112"/>
      <c r="I52" s="102"/>
      <c r="J52" s="104"/>
      <c r="AA52" s="84" t="str">
        <f t="shared" si="17"/>
        <v/>
      </c>
      <c r="AB52" s="84" t="str">
        <f t="shared" si="15"/>
        <v/>
      </c>
      <c r="AC52" s="84" t="str">
        <f t="shared" si="15"/>
        <v/>
      </c>
      <c r="AD52" s="106" t="e">
        <f t="shared" si="12"/>
        <v>#VALUE!</v>
      </c>
      <c r="AE52" s="103" t="str">
        <f t="shared" si="13"/>
        <v/>
      </c>
    </row>
    <row r="53" spans="1:31">
      <c r="A53" s="111"/>
      <c r="B53" s="111"/>
      <c r="C53" s="111"/>
      <c r="D53" s="111"/>
      <c r="E53" s="111"/>
      <c r="F53" s="111"/>
      <c r="G53" s="100"/>
      <c r="H53" s="112"/>
      <c r="I53" s="102"/>
      <c r="J53" s="104"/>
      <c r="AA53" s="84" t="str">
        <f t="shared" si="17"/>
        <v/>
      </c>
      <c r="AB53" s="84" t="str">
        <f t="shared" si="15"/>
        <v/>
      </c>
      <c r="AC53" s="84" t="str">
        <f t="shared" si="15"/>
        <v/>
      </c>
      <c r="AD53" s="106" t="e">
        <f t="shared" si="12"/>
        <v>#VALUE!</v>
      </c>
      <c r="AE53" s="103" t="str">
        <f t="shared" si="13"/>
        <v/>
      </c>
    </row>
    <row r="54" spans="1:31">
      <c r="A54" s="111"/>
      <c r="B54" s="111"/>
      <c r="C54" s="111"/>
      <c r="D54" s="111"/>
      <c r="E54" s="111"/>
      <c r="F54" s="111"/>
      <c r="G54" s="100"/>
      <c r="H54" s="112"/>
      <c r="I54" s="102"/>
      <c r="J54" s="104"/>
      <c r="AA54" s="84" t="str">
        <f t="shared" si="17"/>
        <v/>
      </c>
      <c r="AB54" s="84" t="str">
        <f t="shared" si="15"/>
        <v/>
      </c>
      <c r="AC54" s="84" t="str">
        <f t="shared" si="15"/>
        <v/>
      </c>
      <c r="AD54" s="106" t="e">
        <f t="shared" si="12"/>
        <v>#VALUE!</v>
      </c>
      <c r="AE54" s="103" t="str">
        <f t="shared" si="13"/>
        <v/>
      </c>
    </row>
    <row r="55" spans="1:31">
      <c r="A55" s="111"/>
      <c r="B55" s="111"/>
      <c r="C55" s="111"/>
      <c r="D55" s="111"/>
      <c r="E55" s="111"/>
      <c r="F55" s="111"/>
      <c r="G55" s="111"/>
      <c r="H55" s="112"/>
      <c r="I55" s="102"/>
      <c r="J55" s="98"/>
      <c r="AA55" s="84" t="str">
        <f t="shared" si="17"/>
        <v/>
      </c>
      <c r="AB55" s="84" t="str">
        <f t="shared" si="15"/>
        <v/>
      </c>
      <c r="AC55" s="84" t="str">
        <f t="shared" si="15"/>
        <v/>
      </c>
      <c r="AD55" s="99" t="e">
        <f t="shared" si="12"/>
        <v>#VALUE!</v>
      </c>
      <c r="AE55" s="103" t="str">
        <f t="shared" si="13"/>
        <v/>
      </c>
    </row>
    <row r="56" spans="1:31" ht="27.95" customHeight="1">
      <c r="A56" s="111"/>
      <c r="B56" s="111"/>
      <c r="C56" s="111"/>
      <c r="D56" s="111"/>
      <c r="E56" s="111"/>
      <c r="F56" s="111"/>
      <c r="G56" s="111"/>
      <c r="H56" s="112"/>
      <c r="I56" s="102"/>
      <c r="J56" s="97"/>
      <c r="AA56" s="84" t="str">
        <f t="shared" si="14"/>
        <v/>
      </c>
      <c r="AB56" s="84" t="str">
        <f t="shared" si="15"/>
        <v/>
      </c>
      <c r="AC56" s="84" t="str">
        <f t="shared" si="15"/>
        <v/>
      </c>
      <c r="AD56" s="99" t="e">
        <f t="shared" si="12"/>
        <v>#VALUE!</v>
      </c>
      <c r="AE56" s="103" t="str">
        <f t="shared" si="13"/>
        <v/>
      </c>
    </row>
    <row r="57" spans="1:31" ht="27.75" customHeight="1">
      <c r="A57" s="111"/>
      <c r="B57" s="111"/>
      <c r="C57" s="111"/>
      <c r="D57" s="111"/>
      <c r="E57" s="111"/>
      <c r="F57" s="111"/>
      <c r="G57" s="112"/>
      <c r="H57" s="112"/>
      <c r="I57" s="102"/>
      <c r="J57" s="104"/>
      <c r="AA57" s="84" t="str">
        <f t="shared" si="14"/>
        <v/>
      </c>
      <c r="AB57" s="84" t="str">
        <f t="shared" si="15"/>
        <v/>
      </c>
      <c r="AC57" s="84" t="str">
        <f t="shared" si="15"/>
        <v/>
      </c>
      <c r="AD57" s="106" t="e">
        <f t="shared" si="12"/>
        <v>#VALUE!</v>
      </c>
      <c r="AE57" s="103" t="str">
        <f t="shared" si="13"/>
        <v/>
      </c>
    </row>
    <row r="58" spans="1:31">
      <c r="A58" s="111"/>
      <c r="B58" s="111"/>
      <c r="C58" s="111"/>
      <c r="D58" s="111"/>
      <c r="E58" s="111"/>
      <c r="F58" s="111"/>
      <c r="G58" s="111"/>
      <c r="H58" s="112"/>
      <c r="I58" s="102"/>
      <c r="J58" s="104"/>
      <c r="AA58" s="84" t="str">
        <f t="shared" si="14"/>
        <v/>
      </c>
      <c r="AB58" s="84" t="str">
        <f t="shared" si="15"/>
        <v/>
      </c>
      <c r="AC58" s="84" t="str">
        <f t="shared" si="15"/>
        <v/>
      </c>
      <c r="AD58" s="106" t="e">
        <f t="shared" si="12"/>
        <v>#VALUE!</v>
      </c>
      <c r="AE58" s="103" t="str">
        <f t="shared" si="13"/>
        <v/>
      </c>
    </row>
    <row r="59" spans="1:31">
      <c r="A59" s="111"/>
      <c r="B59" s="111"/>
      <c r="C59" s="111"/>
      <c r="D59" s="111"/>
      <c r="E59" s="111"/>
      <c r="F59" s="111"/>
      <c r="G59" s="111"/>
      <c r="H59" s="112"/>
      <c r="I59" s="102"/>
      <c r="J59" s="104"/>
      <c r="AA59" s="84" t="str">
        <f t="shared" ref="AA59:AA82" si="18">IF(A59=0,"",A59)</f>
        <v/>
      </c>
      <c r="AB59" s="84" t="str">
        <f t="shared" si="15"/>
        <v/>
      </c>
      <c r="AC59" s="84" t="str">
        <f t="shared" si="15"/>
        <v/>
      </c>
      <c r="AD59" s="106" t="e">
        <f t="shared" si="12"/>
        <v>#VALUE!</v>
      </c>
      <c r="AE59" s="103" t="str">
        <f t="shared" si="13"/>
        <v/>
      </c>
    </row>
    <row r="60" spans="1:31" ht="27.75" customHeight="1">
      <c r="A60" s="111"/>
      <c r="B60" s="111"/>
      <c r="C60" s="111"/>
      <c r="D60" s="111"/>
      <c r="E60" s="111"/>
      <c r="F60" s="111"/>
      <c r="G60" s="111"/>
      <c r="H60" s="112"/>
      <c r="I60" s="102"/>
      <c r="J60" s="104"/>
      <c r="AA60" s="84" t="str">
        <f t="shared" si="18"/>
        <v/>
      </c>
      <c r="AB60" s="84" t="str">
        <f t="shared" si="15"/>
        <v/>
      </c>
      <c r="AC60" s="84" t="str">
        <f t="shared" si="15"/>
        <v/>
      </c>
      <c r="AD60" s="106" t="e">
        <f t="shared" si="12"/>
        <v>#VALUE!</v>
      </c>
      <c r="AE60" s="103" t="str">
        <f t="shared" si="13"/>
        <v/>
      </c>
    </row>
    <row r="61" spans="1:31" ht="27.95" customHeight="1">
      <c r="A61" s="111"/>
      <c r="B61" s="111"/>
      <c r="C61" s="111"/>
      <c r="D61" s="111"/>
      <c r="E61" s="111"/>
      <c r="F61" s="111"/>
      <c r="G61" s="111"/>
      <c r="H61" s="112"/>
      <c r="I61" s="102"/>
      <c r="J61" s="104"/>
      <c r="AA61" s="84" t="str">
        <f t="shared" si="18"/>
        <v/>
      </c>
      <c r="AB61" s="84" t="str">
        <f t="shared" si="15"/>
        <v/>
      </c>
      <c r="AC61" s="84" t="str">
        <f t="shared" si="15"/>
        <v/>
      </c>
      <c r="AD61" s="106" t="e">
        <f t="shared" si="12"/>
        <v>#VALUE!</v>
      </c>
      <c r="AE61" s="103" t="str">
        <f t="shared" si="13"/>
        <v/>
      </c>
    </row>
    <row r="62" spans="1:31">
      <c r="A62" s="111"/>
      <c r="B62" s="111"/>
      <c r="C62" s="111"/>
      <c r="D62" s="111"/>
      <c r="E62" s="111"/>
      <c r="F62" s="111"/>
      <c r="G62" s="111"/>
      <c r="H62" s="112"/>
      <c r="I62" s="102"/>
      <c r="J62" s="104"/>
      <c r="AA62" s="84" t="str">
        <f t="shared" si="18"/>
        <v/>
      </c>
      <c r="AB62" s="84" t="str">
        <f t="shared" ref="AB62:AC81" si="19">IF($AA62="","",HLOOKUP(AB$1,$A:$Z,ROW($AA62),FALSE))</f>
        <v/>
      </c>
      <c r="AC62" s="84" t="str">
        <f t="shared" si="19"/>
        <v/>
      </c>
      <c r="AD62" s="106" t="e">
        <f t="shared" si="12"/>
        <v>#VALUE!</v>
      </c>
      <c r="AE62" s="103" t="str">
        <f t="shared" si="13"/>
        <v/>
      </c>
    </row>
    <row r="63" spans="1:31">
      <c r="A63" s="111"/>
      <c r="B63" s="111"/>
      <c r="C63" s="111"/>
      <c r="D63" s="111"/>
      <c r="E63" s="111"/>
      <c r="F63" s="111"/>
      <c r="G63" s="111"/>
      <c r="H63" s="112"/>
      <c r="I63" s="102"/>
      <c r="J63" s="104"/>
      <c r="AA63" s="84" t="str">
        <f t="shared" si="18"/>
        <v/>
      </c>
      <c r="AB63" s="84" t="str">
        <f t="shared" si="19"/>
        <v/>
      </c>
      <c r="AC63" s="84" t="str">
        <f t="shared" si="19"/>
        <v/>
      </c>
      <c r="AD63" s="106" t="e">
        <f t="shared" si="12"/>
        <v>#VALUE!</v>
      </c>
      <c r="AE63" s="103" t="str">
        <f t="shared" si="13"/>
        <v/>
      </c>
    </row>
    <row r="64" spans="1:31">
      <c r="A64" s="111"/>
      <c r="B64" s="111"/>
      <c r="C64" s="111"/>
      <c r="D64" s="111"/>
      <c r="E64" s="111"/>
      <c r="F64" s="111"/>
      <c r="G64" s="111"/>
      <c r="H64" s="112"/>
      <c r="I64" s="102"/>
      <c r="J64" s="104"/>
      <c r="AA64" s="84" t="str">
        <f t="shared" si="18"/>
        <v/>
      </c>
      <c r="AB64" s="84" t="str">
        <f t="shared" si="19"/>
        <v/>
      </c>
      <c r="AC64" s="84" t="str">
        <f t="shared" si="19"/>
        <v/>
      </c>
      <c r="AD64" s="106" t="e">
        <f t="shared" si="12"/>
        <v>#VALUE!</v>
      </c>
      <c r="AE64" s="103" t="str">
        <f t="shared" si="13"/>
        <v/>
      </c>
    </row>
    <row r="65" spans="1:31">
      <c r="A65" s="111"/>
      <c r="B65" s="111"/>
      <c r="C65" s="111"/>
      <c r="D65" s="111"/>
      <c r="E65" s="111"/>
      <c r="F65" s="111"/>
      <c r="G65" s="111"/>
      <c r="H65" s="112"/>
      <c r="I65" s="102"/>
      <c r="J65" s="104"/>
      <c r="AA65" s="84" t="str">
        <f t="shared" si="18"/>
        <v/>
      </c>
      <c r="AB65" s="84" t="str">
        <f t="shared" si="19"/>
        <v/>
      </c>
      <c r="AC65" s="84" t="str">
        <f t="shared" si="19"/>
        <v/>
      </c>
      <c r="AD65" s="99" t="e">
        <f t="shared" si="12"/>
        <v>#VALUE!</v>
      </c>
      <c r="AE65" s="103" t="str">
        <f t="shared" si="13"/>
        <v/>
      </c>
    </row>
    <row r="66" spans="1:31" ht="27.95" customHeight="1">
      <c r="A66" s="111"/>
      <c r="B66" s="111"/>
      <c r="C66" s="111"/>
      <c r="D66" s="111"/>
      <c r="E66" s="111"/>
      <c r="F66" s="111"/>
      <c r="G66" s="111"/>
      <c r="H66" s="112"/>
      <c r="I66" s="102"/>
      <c r="J66" s="104"/>
      <c r="AA66" s="84" t="str">
        <f t="shared" si="18"/>
        <v/>
      </c>
      <c r="AB66" s="84" t="str">
        <f t="shared" si="19"/>
        <v/>
      </c>
      <c r="AC66" s="84" t="str">
        <f t="shared" si="19"/>
        <v/>
      </c>
      <c r="AD66" s="99" t="e">
        <f t="shared" ref="AD66:AD86" si="20">ROUND(IF($AA66="","",ROUND(VALUE(SUBSTITUTE(SUBSTITUTE(HLOOKUP(AD$1,$A:$Z,ROW($AA66),FALSE),"₩","")," ",""))*$Z$1,0)),-2)</f>
        <v>#VALUE!</v>
      </c>
      <c r="AE66" s="103" t="str">
        <f t="shared" ref="AE66:AE82" si="21">IF($AA66="","",HLOOKUP(AE$1,$A:$Z,ROW($AA66),FALSE))</f>
        <v/>
      </c>
    </row>
    <row r="67" spans="1:31" ht="27.95" customHeight="1">
      <c r="A67" s="111"/>
      <c r="B67" s="111"/>
      <c r="C67" s="111"/>
      <c r="D67" s="111"/>
      <c r="E67" s="111"/>
      <c r="F67" s="111"/>
      <c r="G67" s="111"/>
      <c r="H67" s="112"/>
      <c r="I67" s="102"/>
      <c r="J67" s="104"/>
      <c r="AA67" s="84" t="str">
        <f t="shared" si="18"/>
        <v/>
      </c>
      <c r="AB67" s="84" t="str">
        <f t="shared" si="19"/>
        <v/>
      </c>
      <c r="AC67" s="84" t="str">
        <f t="shared" si="19"/>
        <v/>
      </c>
      <c r="AD67" s="99" t="e">
        <f t="shared" si="20"/>
        <v>#VALUE!</v>
      </c>
      <c r="AE67" s="103" t="str">
        <f t="shared" si="21"/>
        <v/>
      </c>
    </row>
    <row r="68" spans="1:31">
      <c r="A68" s="111"/>
      <c r="B68" s="111"/>
      <c r="C68" s="111"/>
      <c r="D68" s="111"/>
      <c r="E68" s="111"/>
      <c r="F68" s="111"/>
      <c r="G68" s="111"/>
      <c r="H68" s="112"/>
      <c r="I68" s="102"/>
      <c r="J68" s="104"/>
      <c r="AA68" s="84" t="str">
        <f t="shared" si="18"/>
        <v/>
      </c>
      <c r="AB68" s="84" t="str">
        <f t="shared" si="19"/>
        <v/>
      </c>
      <c r="AC68" s="84" t="str">
        <f t="shared" si="19"/>
        <v/>
      </c>
      <c r="AD68" s="99" t="e">
        <f t="shared" si="20"/>
        <v>#VALUE!</v>
      </c>
      <c r="AE68" s="103" t="str">
        <f t="shared" si="21"/>
        <v/>
      </c>
    </row>
    <row r="69" spans="1:31">
      <c r="A69" s="111"/>
      <c r="B69" s="111"/>
      <c r="C69" s="111"/>
      <c r="D69" s="111"/>
      <c r="E69" s="111"/>
      <c r="F69" s="111"/>
      <c r="G69" s="111"/>
      <c r="H69" s="112"/>
      <c r="I69" s="102"/>
      <c r="J69" s="105"/>
      <c r="AA69" s="84" t="str">
        <f t="shared" si="18"/>
        <v/>
      </c>
      <c r="AB69" s="84" t="str">
        <f t="shared" si="19"/>
        <v/>
      </c>
      <c r="AC69" s="84" t="str">
        <f t="shared" si="19"/>
        <v/>
      </c>
      <c r="AD69" s="99" t="e">
        <f t="shared" si="20"/>
        <v>#VALUE!</v>
      </c>
      <c r="AE69" s="103" t="str">
        <f t="shared" si="21"/>
        <v/>
      </c>
    </row>
    <row r="70" spans="1:31">
      <c r="A70" s="111"/>
      <c r="B70" s="92"/>
      <c r="C70" s="92"/>
      <c r="D70" s="92"/>
      <c r="E70" s="92"/>
      <c r="F70" s="92"/>
      <c r="G70" s="92"/>
      <c r="H70" s="101"/>
      <c r="I70" s="102"/>
      <c r="J70" s="104"/>
      <c r="AA70" s="84" t="str">
        <f t="shared" si="18"/>
        <v/>
      </c>
      <c r="AB70" s="84" t="str">
        <f t="shared" si="19"/>
        <v/>
      </c>
      <c r="AC70" s="84" t="str">
        <f t="shared" si="19"/>
        <v/>
      </c>
      <c r="AD70" s="99" t="e">
        <f t="shared" si="20"/>
        <v>#VALUE!</v>
      </c>
      <c r="AE70" s="103" t="str">
        <f t="shared" si="21"/>
        <v/>
      </c>
    </row>
    <row r="71" spans="1:31">
      <c r="A71" s="111"/>
      <c r="B71" s="92"/>
      <c r="C71" s="92"/>
      <c r="D71" s="92"/>
      <c r="E71" s="92"/>
      <c r="F71" s="92"/>
      <c r="G71" s="92"/>
      <c r="H71" s="101"/>
      <c r="I71" s="102"/>
      <c r="J71" s="104"/>
      <c r="AA71" s="84" t="str">
        <f t="shared" si="18"/>
        <v/>
      </c>
      <c r="AB71" s="84" t="str">
        <f t="shared" si="19"/>
        <v/>
      </c>
      <c r="AC71" s="84" t="str">
        <f t="shared" si="19"/>
        <v/>
      </c>
      <c r="AD71" s="99" t="e">
        <f t="shared" si="20"/>
        <v>#VALUE!</v>
      </c>
      <c r="AE71" s="103" t="str">
        <f t="shared" si="21"/>
        <v/>
      </c>
    </row>
    <row r="72" spans="1:31">
      <c r="A72" s="111"/>
      <c r="B72" s="92"/>
      <c r="C72" s="92"/>
      <c r="D72" s="92"/>
      <c r="E72" s="92"/>
      <c r="F72" s="92"/>
      <c r="G72" s="92"/>
      <c r="H72" s="101"/>
      <c r="I72" s="102"/>
      <c r="J72" s="105"/>
      <c r="AA72" s="84" t="str">
        <f t="shared" si="18"/>
        <v/>
      </c>
      <c r="AB72" s="84" t="str">
        <f t="shared" si="19"/>
        <v/>
      </c>
      <c r="AC72" s="84" t="str">
        <f t="shared" si="19"/>
        <v/>
      </c>
      <c r="AD72" s="99" t="e">
        <f t="shared" si="20"/>
        <v>#VALUE!</v>
      </c>
      <c r="AE72" s="103" t="str">
        <f t="shared" si="21"/>
        <v/>
      </c>
    </row>
    <row r="73" spans="1:31" ht="27.95" customHeight="1">
      <c r="A73" s="111"/>
      <c r="B73" s="92"/>
      <c r="C73" s="92"/>
      <c r="D73" s="92"/>
      <c r="E73" s="92"/>
      <c r="F73" s="92"/>
      <c r="G73" s="92"/>
      <c r="H73" s="101"/>
      <c r="I73" s="102"/>
      <c r="J73" s="98"/>
      <c r="AA73" s="84" t="str">
        <f t="shared" si="18"/>
        <v/>
      </c>
      <c r="AB73" s="84" t="str">
        <f t="shared" si="19"/>
        <v/>
      </c>
      <c r="AC73" s="84" t="str">
        <f t="shared" si="19"/>
        <v/>
      </c>
      <c r="AD73" s="99" t="e">
        <f t="shared" si="20"/>
        <v>#VALUE!</v>
      </c>
      <c r="AE73" s="103" t="str">
        <f t="shared" si="21"/>
        <v/>
      </c>
    </row>
    <row r="74" spans="1:31" ht="27.95" customHeight="1">
      <c r="A74" s="111"/>
      <c r="B74" s="92"/>
      <c r="C74" s="92"/>
      <c r="D74" s="92"/>
      <c r="E74" s="92"/>
      <c r="F74" s="92"/>
      <c r="G74" s="92"/>
      <c r="H74" s="101"/>
      <c r="I74" s="102"/>
      <c r="J74" s="97"/>
      <c r="AA74" s="84" t="str">
        <f t="shared" si="18"/>
        <v/>
      </c>
      <c r="AB74" s="84" t="str">
        <f t="shared" si="19"/>
        <v/>
      </c>
      <c r="AC74" s="84" t="str">
        <f t="shared" si="19"/>
        <v/>
      </c>
      <c r="AD74" s="99" t="e">
        <f t="shared" si="20"/>
        <v>#VALUE!</v>
      </c>
      <c r="AE74" s="103" t="str">
        <f t="shared" si="21"/>
        <v/>
      </c>
    </row>
    <row r="75" spans="1:31">
      <c r="A75" s="111"/>
      <c r="B75" s="92"/>
      <c r="C75" s="92"/>
      <c r="D75" s="92"/>
      <c r="E75" s="92"/>
      <c r="F75" s="92"/>
      <c r="G75" s="92"/>
      <c r="H75" s="101"/>
      <c r="I75" s="102"/>
      <c r="J75" s="105"/>
      <c r="AA75" s="84" t="str">
        <f t="shared" si="18"/>
        <v/>
      </c>
      <c r="AB75" s="84" t="str">
        <f t="shared" si="19"/>
        <v/>
      </c>
      <c r="AC75" s="84" t="str">
        <f t="shared" si="19"/>
        <v/>
      </c>
      <c r="AD75" s="99" t="e">
        <f t="shared" si="20"/>
        <v>#VALUE!</v>
      </c>
      <c r="AE75" s="103" t="str">
        <f t="shared" si="21"/>
        <v/>
      </c>
    </row>
    <row r="76" spans="1:31">
      <c r="A76" s="111"/>
      <c r="B76" s="92"/>
      <c r="C76" s="92"/>
      <c r="D76" s="92"/>
      <c r="E76" s="92"/>
      <c r="F76" s="92"/>
      <c r="G76" s="92"/>
      <c r="H76" s="101"/>
      <c r="I76" s="102"/>
      <c r="J76" s="97"/>
      <c r="AA76" s="84" t="str">
        <f t="shared" si="18"/>
        <v/>
      </c>
      <c r="AB76" s="84" t="str">
        <f t="shared" si="19"/>
        <v/>
      </c>
      <c r="AC76" s="84" t="str">
        <f t="shared" si="19"/>
        <v/>
      </c>
      <c r="AD76" s="99" t="e">
        <f t="shared" si="20"/>
        <v>#VALUE!</v>
      </c>
      <c r="AE76" s="103" t="str">
        <f t="shared" si="21"/>
        <v/>
      </c>
    </row>
    <row r="77" spans="1:31">
      <c r="A77" s="111"/>
      <c r="B77" s="92"/>
      <c r="C77" s="92"/>
      <c r="D77" s="92"/>
      <c r="E77" s="92"/>
      <c r="F77" s="92"/>
      <c r="G77" s="92"/>
      <c r="H77" s="101"/>
      <c r="I77" s="102"/>
      <c r="J77" s="97"/>
      <c r="AA77" s="84" t="str">
        <f t="shared" si="18"/>
        <v/>
      </c>
      <c r="AB77" s="84" t="str">
        <f t="shared" si="19"/>
        <v/>
      </c>
      <c r="AC77" s="84" t="str">
        <f t="shared" si="19"/>
        <v/>
      </c>
      <c r="AD77" s="99" t="e">
        <f t="shared" si="20"/>
        <v>#VALUE!</v>
      </c>
      <c r="AE77" s="103" t="str">
        <f t="shared" si="21"/>
        <v/>
      </c>
    </row>
    <row r="78" spans="1:31">
      <c r="A78" s="111"/>
      <c r="B78" s="92"/>
      <c r="C78" s="92"/>
      <c r="D78" s="92"/>
      <c r="E78" s="92"/>
      <c r="F78" s="92"/>
      <c r="G78" s="92"/>
      <c r="H78" s="93"/>
      <c r="I78" s="102"/>
      <c r="J78" s="98"/>
      <c r="AA78" s="84" t="str">
        <f t="shared" si="18"/>
        <v/>
      </c>
      <c r="AB78" s="84" t="str">
        <f t="shared" si="19"/>
        <v/>
      </c>
      <c r="AC78" s="84" t="str">
        <f t="shared" si="19"/>
        <v/>
      </c>
      <c r="AD78" s="99" t="e">
        <f t="shared" si="20"/>
        <v>#VALUE!</v>
      </c>
      <c r="AE78" s="103" t="str">
        <f t="shared" si="21"/>
        <v/>
      </c>
    </row>
    <row r="79" spans="1:31" ht="27.95" customHeight="1">
      <c r="A79" s="111"/>
      <c r="B79" s="92"/>
      <c r="C79" s="92"/>
      <c r="D79" s="92"/>
      <c r="E79" s="92"/>
      <c r="F79" s="92"/>
      <c r="G79" s="92"/>
      <c r="H79" s="93"/>
      <c r="I79" s="102"/>
      <c r="J79" s="97"/>
      <c r="AA79" s="84" t="str">
        <f t="shared" si="18"/>
        <v/>
      </c>
      <c r="AB79" s="84" t="str">
        <f t="shared" si="19"/>
        <v/>
      </c>
      <c r="AC79" s="84" t="str">
        <f t="shared" si="19"/>
        <v/>
      </c>
      <c r="AD79" s="99" t="e">
        <f t="shared" si="20"/>
        <v>#VALUE!</v>
      </c>
      <c r="AE79" s="103" t="str">
        <f t="shared" si="21"/>
        <v/>
      </c>
    </row>
    <row r="80" spans="1:31" ht="27.95" customHeight="1">
      <c r="A80" s="111"/>
      <c r="B80" s="92"/>
      <c r="C80" s="92"/>
      <c r="D80" s="92"/>
      <c r="E80" s="92"/>
      <c r="F80" s="92"/>
      <c r="G80" s="92"/>
      <c r="H80" s="93"/>
      <c r="I80" s="102"/>
      <c r="J80" s="97"/>
      <c r="AA80" s="84" t="str">
        <f t="shared" si="18"/>
        <v/>
      </c>
      <c r="AB80" s="84" t="str">
        <f t="shared" si="19"/>
        <v/>
      </c>
      <c r="AC80" s="84" t="str">
        <f t="shared" si="19"/>
        <v/>
      </c>
      <c r="AD80" s="99" t="e">
        <f t="shared" si="20"/>
        <v>#VALUE!</v>
      </c>
      <c r="AE80" s="84" t="str">
        <f t="shared" si="21"/>
        <v/>
      </c>
    </row>
    <row r="81" spans="1:31">
      <c r="A81" s="111"/>
      <c r="B81" s="92"/>
      <c r="C81" s="92"/>
      <c r="D81" s="92"/>
      <c r="E81" s="92"/>
      <c r="F81" s="92"/>
      <c r="G81" s="114"/>
      <c r="H81" s="93"/>
      <c r="I81" s="94"/>
      <c r="J81" s="97"/>
      <c r="AA81" s="84" t="str">
        <f t="shared" si="18"/>
        <v/>
      </c>
      <c r="AB81" s="84" t="str">
        <f t="shared" si="19"/>
        <v/>
      </c>
      <c r="AC81" s="84" t="str">
        <f t="shared" si="19"/>
        <v/>
      </c>
      <c r="AD81" s="99" t="e">
        <f t="shared" si="20"/>
        <v>#VALUE!</v>
      </c>
      <c r="AE81" s="84" t="str">
        <f t="shared" si="21"/>
        <v/>
      </c>
    </row>
    <row r="82" spans="1:31">
      <c r="A82" s="111"/>
      <c r="B82" s="92"/>
      <c r="C82" s="92"/>
      <c r="D82" s="92"/>
      <c r="E82" s="92"/>
      <c r="F82" s="92"/>
      <c r="G82" s="92"/>
      <c r="H82" s="101"/>
      <c r="I82" s="102"/>
      <c r="J82" s="97"/>
      <c r="AA82" s="84" t="str">
        <f t="shared" si="18"/>
        <v/>
      </c>
      <c r="AB82" s="84" t="str">
        <f t="shared" ref="AB82:AC82" si="22">IF($AA82="","",HLOOKUP(AB$1,$A:$Z,ROW($AA82),FALSE))</f>
        <v/>
      </c>
      <c r="AC82" s="84" t="str">
        <f t="shared" si="22"/>
        <v/>
      </c>
      <c r="AD82" s="99" t="e">
        <f t="shared" si="20"/>
        <v>#VALUE!</v>
      </c>
      <c r="AE82" s="84" t="str">
        <f t="shared" si="21"/>
        <v/>
      </c>
    </row>
    <row r="83" spans="1:31">
      <c r="A83" s="100"/>
      <c r="B83" s="92"/>
      <c r="C83" s="92"/>
      <c r="D83" s="92"/>
      <c r="E83" s="92"/>
      <c r="F83" s="92"/>
      <c r="G83" s="92"/>
      <c r="H83" s="93"/>
      <c r="I83" s="102"/>
      <c r="J83" s="98"/>
      <c r="AA83" s="84"/>
      <c r="AB83" s="84"/>
      <c r="AC83" s="84"/>
      <c r="AD83" s="99" t="e">
        <f t="shared" si="20"/>
        <v>#VALUE!</v>
      </c>
      <c r="AE83" s="103"/>
    </row>
    <row r="84" spans="1:31" ht="27.95" customHeight="1">
      <c r="A84" s="100"/>
      <c r="B84" s="92"/>
      <c r="C84" s="92"/>
      <c r="D84" s="92"/>
      <c r="E84" s="92"/>
      <c r="F84" s="92"/>
      <c r="G84" s="92"/>
      <c r="H84" s="93"/>
      <c r="I84" s="102"/>
      <c r="J84" s="97"/>
      <c r="AA84" s="84"/>
      <c r="AB84" s="84"/>
      <c r="AC84" s="84"/>
      <c r="AD84" s="99" t="e">
        <f t="shared" si="20"/>
        <v>#VALUE!</v>
      </c>
      <c r="AE84" s="103"/>
    </row>
    <row r="85" spans="1:31" ht="27.95" customHeight="1">
      <c r="A85" s="100"/>
      <c r="B85" s="92"/>
      <c r="C85" s="92"/>
      <c r="D85" s="92"/>
      <c r="E85" s="92"/>
      <c r="F85" s="92"/>
      <c r="G85" s="92"/>
      <c r="H85" s="93"/>
      <c r="I85" s="102"/>
      <c r="J85" s="97"/>
      <c r="AA85" s="84"/>
      <c r="AB85" s="84"/>
      <c r="AC85" s="84"/>
      <c r="AD85" s="99" t="e">
        <f t="shared" si="20"/>
        <v>#VALUE!</v>
      </c>
      <c r="AE85" s="84"/>
    </row>
    <row r="86" spans="1:31">
      <c r="A86" s="92"/>
      <c r="B86" s="92"/>
      <c r="C86" s="92"/>
      <c r="D86" s="92"/>
      <c r="E86" s="92"/>
      <c r="F86" s="92"/>
      <c r="G86" s="92"/>
      <c r="H86" s="93"/>
      <c r="I86" s="94"/>
      <c r="J86" s="97"/>
      <c r="AA86" s="84"/>
      <c r="AB86" s="84"/>
      <c r="AC86" s="84"/>
      <c r="AD86" s="99" t="e">
        <f t="shared" si="20"/>
        <v>#VALUE!</v>
      </c>
      <c r="AE86" s="84"/>
    </row>
  </sheetData>
  <phoneticPr fontId="17" type="noConversion"/>
  <conditionalFormatting sqref="G1">
    <cfRule type="duplicateValues" dxfId="87" priority="2660"/>
  </conditionalFormatting>
  <conditionalFormatting sqref="G79:G81">
    <cfRule type="duplicateValues" dxfId="86" priority="1071"/>
  </conditionalFormatting>
  <conditionalFormatting sqref="G79:G80">
    <cfRule type="duplicateValues" dxfId="85" priority="1070"/>
  </conditionalFormatting>
  <conditionalFormatting sqref="G79:G80">
    <cfRule type="duplicateValues" dxfId="84" priority="1069"/>
  </conditionalFormatting>
  <conditionalFormatting sqref="G79:G80">
    <cfRule type="duplicateValues" dxfId="83" priority="1068"/>
  </conditionalFormatting>
  <conditionalFormatting sqref="G79:G80">
    <cfRule type="duplicateValues" dxfId="82" priority="1067"/>
  </conditionalFormatting>
  <conditionalFormatting sqref="G79:G80">
    <cfRule type="duplicateValues" dxfId="81" priority="1066"/>
  </conditionalFormatting>
  <conditionalFormatting sqref="G79:G80">
    <cfRule type="duplicateValues" dxfId="80" priority="1065"/>
  </conditionalFormatting>
  <conditionalFormatting sqref="G81">
    <cfRule type="duplicateValues" dxfId="79" priority="1064"/>
  </conditionalFormatting>
  <conditionalFormatting sqref="G81">
    <cfRule type="duplicateValues" dxfId="78" priority="1063"/>
  </conditionalFormatting>
  <conditionalFormatting sqref="G81">
    <cfRule type="duplicateValues" dxfId="77" priority="1062"/>
  </conditionalFormatting>
  <conditionalFormatting sqref="G81">
    <cfRule type="duplicateValues" dxfId="76" priority="1061"/>
  </conditionalFormatting>
  <conditionalFormatting sqref="G81">
    <cfRule type="duplicateValues" dxfId="75" priority="1060"/>
  </conditionalFormatting>
  <conditionalFormatting sqref="G81">
    <cfRule type="duplicateValues" dxfId="74" priority="1059"/>
  </conditionalFormatting>
  <conditionalFormatting sqref="G75:G78">
    <cfRule type="duplicateValues" dxfId="73" priority="1058"/>
  </conditionalFormatting>
  <conditionalFormatting sqref="G75:G76">
    <cfRule type="duplicateValues" dxfId="72" priority="1057"/>
  </conditionalFormatting>
  <conditionalFormatting sqref="G75:G76">
    <cfRule type="duplicateValues" dxfId="71" priority="1056"/>
  </conditionalFormatting>
  <conditionalFormatting sqref="G75:G76">
    <cfRule type="duplicateValues" dxfId="70" priority="1055"/>
  </conditionalFormatting>
  <conditionalFormatting sqref="G75:G76">
    <cfRule type="duplicateValues" dxfId="69" priority="1054"/>
  </conditionalFormatting>
  <conditionalFormatting sqref="G75:G76">
    <cfRule type="duplicateValues" dxfId="68" priority="1053"/>
  </conditionalFormatting>
  <conditionalFormatting sqref="G75:G76">
    <cfRule type="duplicateValues" dxfId="67" priority="1052"/>
  </conditionalFormatting>
  <conditionalFormatting sqref="G77:G78">
    <cfRule type="duplicateValues" dxfId="66" priority="1051"/>
  </conditionalFormatting>
  <conditionalFormatting sqref="G77:G78">
    <cfRule type="duplicateValues" dxfId="65" priority="1050"/>
  </conditionalFormatting>
  <conditionalFormatting sqref="G77:G78">
    <cfRule type="duplicateValues" dxfId="64" priority="1049"/>
  </conditionalFormatting>
  <conditionalFormatting sqref="G77:G78">
    <cfRule type="duplicateValues" dxfId="63" priority="1048"/>
  </conditionalFormatting>
  <conditionalFormatting sqref="G77:G78">
    <cfRule type="duplicateValues" dxfId="62" priority="1047"/>
  </conditionalFormatting>
  <conditionalFormatting sqref="G77:G78">
    <cfRule type="duplicateValues" dxfId="61" priority="1046"/>
  </conditionalFormatting>
  <conditionalFormatting sqref="G70">
    <cfRule type="duplicateValues" dxfId="60" priority="921"/>
  </conditionalFormatting>
  <conditionalFormatting sqref="G70">
    <cfRule type="duplicateValues" dxfId="59" priority="920"/>
  </conditionalFormatting>
  <conditionalFormatting sqref="G70">
    <cfRule type="duplicateValues" dxfId="58" priority="919"/>
  </conditionalFormatting>
  <conditionalFormatting sqref="G70">
    <cfRule type="duplicateValues" dxfId="57" priority="918"/>
  </conditionalFormatting>
  <conditionalFormatting sqref="G70">
    <cfRule type="duplicateValues" dxfId="56" priority="917"/>
  </conditionalFormatting>
  <conditionalFormatting sqref="G70">
    <cfRule type="duplicateValues" dxfId="55" priority="916"/>
  </conditionalFormatting>
  <conditionalFormatting sqref="G70">
    <cfRule type="duplicateValues" dxfId="54" priority="915"/>
  </conditionalFormatting>
  <conditionalFormatting sqref="G71:G73">
    <cfRule type="duplicateValues" dxfId="53" priority="914"/>
  </conditionalFormatting>
  <conditionalFormatting sqref="G71:G73">
    <cfRule type="duplicateValues" dxfId="52" priority="913"/>
  </conditionalFormatting>
  <conditionalFormatting sqref="G71:G73">
    <cfRule type="duplicateValues" dxfId="51" priority="912"/>
  </conditionalFormatting>
  <conditionalFormatting sqref="G71:G73">
    <cfRule type="duplicateValues" dxfId="50" priority="911"/>
  </conditionalFormatting>
  <conditionalFormatting sqref="G71:G73">
    <cfRule type="duplicateValues" dxfId="49" priority="910"/>
  </conditionalFormatting>
  <conditionalFormatting sqref="G71:G73">
    <cfRule type="duplicateValues" dxfId="48" priority="909"/>
  </conditionalFormatting>
  <conditionalFormatting sqref="G71:G73">
    <cfRule type="duplicateValues" dxfId="47" priority="908"/>
  </conditionalFormatting>
  <conditionalFormatting sqref="G74">
    <cfRule type="duplicateValues" dxfId="46" priority="907"/>
  </conditionalFormatting>
  <conditionalFormatting sqref="G74">
    <cfRule type="duplicateValues" dxfId="45" priority="906"/>
  </conditionalFormatting>
  <conditionalFormatting sqref="G74">
    <cfRule type="duplicateValues" dxfId="44" priority="905"/>
  </conditionalFormatting>
  <conditionalFormatting sqref="G74">
    <cfRule type="duplicateValues" dxfId="43" priority="904"/>
  </conditionalFormatting>
  <conditionalFormatting sqref="G74">
    <cfRule type="duplicateValues" dxfId="42" priority="903"/>
  </conditionalFormatting>
  <conditionalFormatting sqref="G74">
    <cfRule type="duplicateValues" dxfId="41" priority="902"/>
  </conditionalFormatting>
  <conditionalFormatting sqref="G74">
    <cfRule type="duplicateValues" dxfId="40" priority="901"/>
  </conditionalFormatting>
  <conditionalFormatting sqref="G55:G69 G2:G5">
    <cfRule type="duplicateValues" dxfId="39" priority="34"/>
  </conditionalFormatting>
  <conditionalFormatting sqref="G55:G69 G2:G5">
    <cfRule type="duplicateValues" dxfId="38" priority="28"/>
    <cfRule type="duplicateValues" dxfId="37" priority="29"/>
    <cfRule type="duplicateValues" dxfId="36" priority="30"/>
    <cfRule type="duplicateValues" dxfId="35" priority="31"/>
    <cfRule type="duplicateValues" dxfId="34" priority="32"/>
    <cfRule type="duplicateValues" dxfId="33" priority="33"/>
  </conditionalFormatting>
  <conditionalFormatting sqref="G55:G69 G2:G5">
    <cfRule type="duplicateValues" dxfId="32" priority="24"/>
    <cfRule type="duplicateValues" dxfId="31" priority="25"/>
    <cfRule type="duplicateValues" dxfId="30" priority="26"/>
    <cfRule type="duplicateValues" dxfId="29" priority="27"/>
  </conditionalFormatting>
  <conditionalFormatting sqref="G2:G69">
    <cfRule type="duplicateValues" dxfId="28" priority="22"/>
    <cfRule type="duplicateValues" dxfId="27" priority="23"/>
  </conditionalFormatting>
  <conditionalFormatting sqref="G55:G69 G2:G5">
    <cfRule type="duplicateValues" dxfId="26" priority="35"/>
  </conditionalFormatting>
  <conditionalFormatting sqref="G55:G69 G2:G5">
    <cfRule type="duplicateValues" dxfId="25" priority="39"/>
    <cfRule type="duplicateValues" dxfId="24" priority="40"/>
  </conditionalFormatting>
  <conditionalFormatting sqref="G55:G69 G2:G5">
    <cfRule type="duplicateValues" dxfId="23" priority="37"/>
    <cfRule type="duplicateValues" dxfId="22" priority="38"/>
  </conditionalFormatting>
  <conditionalFormatting sqref="G55:G69 G2:G5">
    <cfRule type="duplicateValues" dxfId="21" priority="36"/>
  </conditionalFormatting>
  <conditionalFormatting sqref="F2:F69">
    <cfRule type="duplicateValues" dxfId="20" priority="21"/>
  </conditionalFormatting>
  <conditionalFormatting sqref="G84:G86">
    <cfRule type="duplicateValues" dxfId="19" priority="20"/>
  </conditionalFormatting>
  <conditionalFormatting sqref="G84:G85">
    <cfRule type="duplicateValues" dxfId="18" priority="19"/>
  </conditionalFormatting>
  <conditionalFormatting sqref="G84:G85">
    <cfRule type="duplicateValues" dxfId="17" priority="18"/>
  </conditionalFormatting>
  <conditionalFormatting sqref="G84:G85">
    <cfRule type="duplicateValues" dxfId="16" priority="17"/>
  </conditionalFormatting>
  <conditionalFormatting sqref="G84:G85">
    <cfRule type="duplicateValues" dxfId="15" priority="16"/>
  </conditionalFormatting>
  <conditionalFormatting sqref="G84:G85">
    <cfRule type="duplicateValues" dxfId="14" priority="15"/>
  </conditionalFormatting>
  <conditionalFormatting sqref="G84:G85">
    <cfRule type="duplicateValues" dxfId="13" priority="14"/>
  </conditionalFormatting>
  <conditionalFormatting sqref="G86">
    <cfRule type="duplicateValues" dxfId="12" priority="13"/>
  </conditionalFormatting>
  <conditionalFormatting sqref="G86">
    <cfRule type="duplicateValues" dxfId="11" priority="12"/>
  </conditionalFormatting>
  <conditionalFormatting sqref="G86">
    <cfRule type="duplicateValues" dxfId="10" priority="11"/>
  </conditionalFormatting>
  <conditionalFormatting sqref="G86">
    <cfRule type="duplicateValues" dxfId="9" priority="10"/>
  </conditionalFormatting>
  <conditionalFormatting sqref="G86">
    <cfRule type="duplicateValues" dxfId="8" priority="9"/>
  </conditionalFormatting>
  <conditionalFormatting sqref="G86">
    <cfRule type="duplicateValues" dxfId="7" priority="8"/>
  </conditionalFormatting>
  <conditionalFormatting sqref="G82:G83">
    <cfRule type="duplicateValues" dxfId="6" priority="7"/>
  </conditionalFormatting>
  <conditionalFormatting sqref="G82:G83">
    <cfRule type="duplicateValues" dxfId="5" priority="6"/>
  </conditionalFormatting>
  <conditionalFormatting sqref="G82:G83">
    <cfRule type="duplicateValues" dxfId="4" priority="5"/>
  </conditionalFormatting>
  <conditionalFormatting sqref="G82:G83">
    <cfRule type="duplicateValues" dxfId="3" priority="4"/>
  </conditionalFormatting>
  <conditionalFormatting sqref="G82:G83">
    <cfRule type="duplicateValues" dxfId="2" priority="3"/>
  </conditionalFormatting>
  <conditionalFormatting sqref="G82:G83">
    <cfRule type="duplicateValues" dxfId="1" priority="2"/>
  </conditionalFormatting>
  <conditionalFormatting sqref="G82:G83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1">
          <controlPr defaultSize="0" autoLine="0" autoPict="0" r:id="rId5">
            <anchor moveWithCells="1">
              <from>
                <xdr:col>31</xdr:col>
                <xdr:colOff>47625</xdr:colOff>
                <xdr:row>1</xdr:row>
                <xdr:rowOff>0</xdr:rowOff>
              </from>
              <to>
                <xdr:col>31</xdr:col>
                <xdr:colOff>1247775</xdr:colOff>
                <xdr:row>4</xdr:row>
                <xdr:rowOff>190500</xdr:rowOff>
              </to>
            </anchor>
          </controlPr>
        </control>
      </mc:Choice>
      <mc:Fallback>
        <control shapeId="30722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50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 t="s">
        <v>35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 t="str">
        <f>B5</f>
        <v>date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e">
        <f>NUMBERSTRING(G9,1)&amp;"원정    (  \"</f>
        <v>#VALUE!</v>
      </c>
      <c r="D9" s="24"/>
      <c r="E9" s="24"/>
      <c r="F9" s="23"/>
      <c r="G9" s="128" t="e">
        <f>SUM(F20)</f>
        <v>#VALUE!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e">
        <f>NUMBERSTRING(S9,1)&amp;"원정    (  \"</f>
        <v>#VALUE!</v>
      </c>
      <c r="P9" s="24"/>
      <c r="Q9" s="24"/>
      <c r="R9" s="23"/>
      <c r="S9" s="128" t="e">
        <f>SUM(R20)</f>
        <v>#VALUE!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48</v>
      </c>
      <c r="D11" s="133"/>
      <c r="E11" s="34">
        <v>1</v>
      </c>
      <c r="F11" s="35" t="s">
        <v>33</v>
      </c>
      <c r="G11" s="134" t="e">
        <f>E11*F11</f>
        <v>#VALUE!</v>
      </c>
      <c r="H11" s="134"/>
      <c r="I11" s="63" t="e">
        <f>ROUND(SUM(G11*0.1),0)</f>
        <v>#VALUE!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0247#</v>
      </c>
      <c r="P11" s="133"/>
      <c r="Q11" s="67">
        <v>1</v>
      </c>
      <c r="R11" s="35" t="str">
        <f>F11</f>
        <v>cost</v>
      </c>
      <c r="S11" s="134" t="e">
        <f>G11</f>
        <v>#VALUE!</v>
      </c>
      <c r="T11" s="134"/>
      <c r="U11" s="63" t="e">
        <f>I11</f>
        <v>#VALUE!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0</v>
      </c>
      <c r="G19" s="150" t="e">
        <f>SUM(G11:H18)</f>
        <v>#VALUE!</v>
      </c>
      <c r="H19" s="151"/>
      <c r="I19" s="75" t="e">
        <f>SUM(I11:I18)</f>
        <v>#VALUE!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0</v>
      </c>
      <c r="S19" s="150" t="e">
        <f>G19</f>
        <v>#VALUE!</v>
      </c>
      <c r="T19" s="151"/>
      <c r="U19" s="75" t="e">
        <f>I19</f>
        <v>#VALUE!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 t="e">
        <f>+G19+I19</f>
        <v>#VALUE!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 t="e">
        <f>F20</f>
        <v>#VALUE!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 t="s">
        <v>34</v>
      </c>
      <c r="D22" s="146"/>
      <c r="E22" s="146"/>
      <c r="F22" s="51" t="s">
        <v>31</v>
      </c>
      <c r="G22" s="147" t="s">
        <v>49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 t="str">
        <f>C22</f>
        <v>po</v>
      </c>
      <c r="P22" s="146"/>
      <c r="Q22" s="146"/>
      <c r="R22" s="51" t="str">
        <f>F22</f>
        <v>)</v>
      </c>
      <c r="S22" s="147" t="str">
        <f>G22</f>
        <v>kit id</v>
      </c>
      <c r="T22" s="147"/>
      <c r="U22" s="147"/>
      <c r="V22" s="50"/>
    </row>
  </sheetData>
  <mergeCells count="74">
    <mergeCell ref="B2:I2"/>
    <mergeCell ref="N2:U2"/>
    <mergeCell ref="C21:D21"/>
    <mergeCell ref="H21:I21"/>
    <mergeCell ref="O21:P21"/>
    <mergeCell ref="T21:U21"/>
    <mergeCell ref="C17:D17"/>
    <mergeCell ref="G17:H17"/>
    <mergeCell ref="O17:P17"/>
    <mergeCell ref="S17:T17"/>
    <mergeCell ref="C18:D18"/>
    <mergeCell ref="G18:H18"/>
    <mergeCell ref="O18:P18"/>
    <mergeCell ref="S18:T18"/>
    <mergeCell ref="C15:D15"/>
    <mergeCell ref="G15:H15"/>
    <mergeCell ref="C22:E22"/>
    <mergeCell ref="G22:I22"/>
    <mergeCell ref="O22:Q22"/>
    <mergeCell ref="S22:U22"/>
    <mergeCell ref="B19:D19"/>
    <mergeCell ref="G19:H19"/>
    <mergeCell ref="N19:P19"/>
    <mergeCell ref="S19:T19"/>
    <mergeCell ref="C20:D20"/>
    <mergeCell ref="F20:I20"/>
    <mergeCell ref="O20:P20"/>
    <mergeCell ref="R20:U20"/>
    <mergeCell ref="O15:P15"/>
    <mergeCell ref="S15:T15"/>
    <mergeCell ref="C16:D16"/>
    <mergeCell ref="G16:H16"/>
    <mergeCell ref="O16:P16"/>
    <mergeCell ref="S16:T16"/>
    <mergeCell ref="C13:D13"/>
    <mergeCell ref="G13:H13"/>
    <mergeCell ref="O13:P13"/>
    <mergeCell ref="S13:T13"/>
    <mergeCell ref="C14:D14"/>
    <mergeCell ref="G14:H14"/>
    <mergeCell ref="O14:P14"/>
    <mergeCell ref="S14:T14"/>
    <mergeCell ref="C11:D11"/>
    <mergeCell ref="G11:H11"/>
    <mergeCell ref="O11:P11"/>
    <mergeCell ref="S11:T11"/>
    <mergeCell ref="C12:D12"/>
    <mergeCell ref="G12:H12"/>
    <mergeCell ref="O12:P12"/>
    <mergeCell ref="S12:T12"/>
    <mergeCell ref="G9:H9"/>
    <mergeCell ref="S9:T9"/>
    <mergeCell ref="C10:D10"/>
    <mergeCell ref="G10:H10"/>
    <mergeCell ref="O10:P10"/>
    <mergeCell ref="S10:T10"/>
    <mergeCell ref="D6:E6"/>
    <mergeCell ref="F6:I6"/>
    <mergeCell ref="P6:Q6"/>
    <mergeCell ref="R6:U6"/>
    <mergeCell ref="D7:E7"/>
    <mergeCell ref="H7:I7"/>
    <mergeCell ref="P7:Q7"/>
    <mergeCell ref="T7:U7"/>
    <mergeCell ref="T5:U5"/>
    <mergeCell ref="B3:I3"/>
    <mergeCell ref="N3:U3"/>
    <mergeCell ref="D4:E4"/>
    <mergeCell ref="F4:I4"/>
    <mergeCell ref="P4:Q4"/>
    <mergeCell ref="R4:U4"/>
    <mergeCell ref="D5:E5"/>
    <mergeCell ref="H5:I5"/>
    <mergeCell ref="P5:Q5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342D-08A2-4F94-B81B-19ADA865CFF6}">
  <sheetPr codeName="Sheet3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사백팔십만육천육백칠십원정    (  \</v>
      </c>
      <c r="D9" s="24"/>
      <c r="E9" s="24"/>
      <c r="F9" s="23"/>
      <c r="G9" s="128">
        <f>SUM(F20)</f>
        <v>4806670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사백팔십만육천육백칠십원정    (  \</v>
      </c>
      <c r="P9" s="24"/>
      <c r="Q9" s="24"/>
      <c r="R9" s="23"/>
      <c r="S9" s="128">
        <f>SUM(R20)</f>
        <v>4806670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63</v>
      </c>
      <c r="D11" s="133"/>
      <c r="E11" s="34">
        <v>1</v>
      </c>
      <c r="F11" s="35">
        <v>4369700</v>
      </c>
      <c r="G11" s="134">
        <f>E11*F11</f>
        <v>4369700</v>
      </c>
      <c r="H11" s="134"/>
      <c r="I11" s="63">
        <f>ROUND(SUM(G11*0.1),0)</f>
        <v>436970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0247-08810</v>
      </c>
      <c r="P11" s="133"/>
      <c r="Q11" s="67">
        <v>1</v>
      </c>
      <c r="R11" s="35">
        <f>F11</f>
        <v>4369700</v>
      </c>
      <c r="S11" s="134">
        <f>G11</f>
        <v>4369700</v>
      </c>
      <c r="T11" s="134"/>
      <c r="U11" s="63">
        <f>I11</f>
        <v>436970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4369700</v>
      </c>
      <c r="G19" s="150">
        <f>SUM(G11:H18)</f>
        <v>4369700</v>
      </c>
      <c r="H19" s="151"/>
      <c r="I19" s="75">
        <f>SUM(I11:I18)</f>
        <v>436970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4369700</v>
      </c>
      <c r="S19" s="150">
        <f>G19</f>
        <v>4369700</v>
      </c>
      <c r="T19" s="151"/>
      <c r="U19" s="75">
        <f>I19</f>
        <v>436970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4806670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4806670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4522829284</v>
      </c>
      <c r="D22" s="146"/>
      <c r="E22" s="146"/>
      <c r="F22" s="51" t="s">
        <v>31</v>
      </c>
      <c r="G22" s="147">
        <v>219353621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4522829284</v>
      </c>
      <c r="P22" s="146"/>
      <c r="Q22" s="146"/>
      <c r="R22" s="51" t="str">
        <f>F22</f>
        <v>)</v>
      </c>
      <c r="S22" s="147">
        <f>G22</f>
        <v>219353621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71DA-6199-4FC6-A6FC-8554EAF4EAA7}">
  <sheetPr codeName="Sheet4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오십육만사천삼백원정    (  \</v>
      </c>
      <c r="D9" s="24"/>
      <c r="E9" s="24"/>
      <c r="F9" s="23"/>
      <c r="G9" s="128">
        <f>SUM(F20)</f>
        <v>564300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오십육만사천삼백원정    (  \</v>
      </c>
      <c r="P9" s="24"/>
      <c r="Q9" s="24"/>
      <c r="R9" s="23"/>
      <c r="S9" s="128">
        <f>SUM(R20)</f>
        <v>564300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63</v>
      </c>
      <c r="D11" s="133"/>
      <c r="E11" s="34">
        <v>1</v>
      </c>
      <c r="F11" s="35">
        <v>513000</v>
      </c>
      <c r="G11" s="134">
        <f>E11*F11</f>
        <v>513000</v>
      </c>
      <c r="H11" s="134"/>
      <c r="I11" s="63">
        <f>ROUND(SUM(G11*0.1),0)</f>
        <v>51300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0247-08810</v>
      </c>
      <c r="P11" s="133"/>
      <c r="Q11" s="67">
        <v>1</v>
      </c>
      <c r="R11" s="35">
        <f>F11</f>
        <v>513000</v>
      </c>
      <c r="S11" s="134">
        <f>G11</f>
        <v>513000</v>
      </c>
      <c r="T11" s="134"/>
      <c r="U11" s="63">
        <f>I11</f>
        <v>51300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513000</v>
      </c>
      <c r="G19" s="150">
        <f>SUM(G11:H18)</f>
        <v>513000</v>
      </c>
      <c r="H19" s="151"/>
      <c r="I19" s="75">
        <f>SUM(I11:I18)</f>
        <v>51300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513000</v>
      </c>
      <c r="S19" s="150">
        <f>G19</f>
        <v>513000</v>
      </c>
      <c r="T19" s="151"/>
      <c r="U19" s="75">
        <f>I19</f>
        <v>51300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564300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564300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4522838505</v>
      </c>
      <c r="D22" s="146"/>
      <c r="E22" s="146"/>
      <c r="F22" s="51" t="s">
        <v>31</v>
      </c>
      <c r="G22" s="147">
        <v>234923618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4522838505</v>
      </c>
      <c r="P22" s="146"/>
      <c r="Q22" s="146"/>
      <c r="R22" s="51" t="str">
        <f>F22</f>
        <v>)</v>
      </c>
      <c r="S22" s="147">
        <f>G22</f>
        <v>234923618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B15-8180-44C1-8F86-F2C77DB1D32B}">
  <sheetPr codeName="Sheet5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육백칠십사만사천이백일십원정    (  \</v>
      </c>
      <c r="D9" s="24"/>
      <c r="E9" s="24"/>
      <c r="F9" s="23"/>
      <c r="G9" s="128">
        <f>SUM(F20)</f>
        <v>6744210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육백칠십사만사천이백일십원정    (  \</v>
      </c>
      <c r="P9" s="24"/>
      <c r="Q9" s="24"/>
      <c r="R9" s="23"/>
      <c r="S9" s="128">
        <f>SUM(R20)</f>
        <v>6744210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64</v>
      </c>
      <c r="D11" s="133"/>
      <c r="E11" s="34">
        <v>1</v>
      </c>
      <c r="F11" s="35">
        <v>6131100</v>
      </c>
      <c r="G11" s="134">
        <f>E11*F11</f>
        <v>6131100</v>
      </c>
      <c r="H11" s="134"/>
      <c r="I11" s="63">
        <f>ROUND(SUM(G11*0.1),0)</f>
        <v>613110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0247-06824</v>
      </c>
      <c r="P11" s="133"/>
      <c r="Q11" s="67">
        <v>1</v>
      </c>
      <c r="R11" s="35">
        <f>F11</f>
        <v>6131100</v>
      </c>
      <c r="S11" s="134">
        <f>G11</f>
        <v>6131100</v>
      </c>
      <c r="T11" s="134"/>
      <c r="U11" s="63">
        <f>I11</f>
        <v>613110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6131100</v>
      </c>
      <c r="G19" s="150">
        <f>SUM(G11:H18)</f>
        <v>6131100</v>
      </c>
      <c r="H19" s="151"/>
      <c r="I19" s="75">
        <f>SUM(I11:I18)</f>
        <v>613110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6131100</v>
      </c>
      <c r="S19" s="150">
        <f>G19</f>
        <v>6131100</v>
      </c>
      <c r="T19" s="151"/>
      <c r="U19" s="75">
        <f>I19</f>
        <v>613110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6744210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6744210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4522839142</v>
      </c>
      <c r="D22" s="146"/>
      <c r="E22" s="146"/>
      <c r="F22" s="51" t="s">
        <v>31</v>
      </c>
      <c r="G22" s="147">
        <v>180674010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4522839142</v>
      </c>
      <c r="P22" s="146"/>
      <c r="Q22" s="146"/>
      <c r="R22" s="51" t="str">
        <f>F22</f>
        <v>)</v>
      </c>
      <c r="S22" s="147">
        <f>G22</f>
        <v>180674010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4E3F7-1F68-4D61-BB6B-CB89F44F5A5B}">
  <sheetPr codeName="Sheet6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오십육만사천삼백원정    (  \</v>
      </c>
      <c r="D9" s="24"/>
      <c r="E9" s="24"/>
      <c r="F9" s="23"/>
      <c r="G9" s="128">
        <f>SUM(F20)</f>
        <v>564300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오십육만사천삼백원정    (  \</v>
      </c>
      <c r="P9" s="24"/>
      <c r="Q9" s="24"/>
      <c r="R9" s="23"/>
      <c r="S9" s="128">
        <f>SUM(R20)</f>
        <v>564300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63</v>
      </c>
      <c r="D11" s="133"/>
      <c r="E11" s="34">
        <v>1</v>
      </c>
      <c r="F11" s="35">
        <v>513000</v>
      </c>
      <c r="G11" s="134">
        <f>E11*F11</f>
        <v>513000</v>
      </c>
      <c r="H11" s="134"/>
      <c r="I11" s="63">
        <f>ROUND(SUM(G11*0.1),0)</f>
        <v>51300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0247-08810</v>
      </c>
      <c r="P11" s="133"/>
      <c r="Q11" s="67">
        <v>1</v>
      </c>
      <c r="R11" s="35">
        <f>F11</f>
        <v>513000</v>
      </c>
      <c r="S11" s="134">
        <f>G11</f>
        <v>513000</v>
      </c>
      <c r="T11" s="134"/>
      <c r="U11" s="63">
        <f>I11</f>
        <v>51300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513000</v>
      </c>
      <c r="G19" s="150">
        <f>SUM(G11:H18)</f>
        <v>513000</v>
      </c>
      <c r="H19" s="151"/>
      <c r="I19" s="75">
        <f>SUM(I11:I18)</f>
        <v>51300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513000</v>
      </c>
      <c r="S19" s="150">
        <f>G19</f>
        <v>513000</v>
      </c>
      <c r="T19" s="151"/>
      <c r="U19" s="75">
        <f>I19</f>
        <v>51300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564300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564300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4522865530</v>
      </c>
      <c r="D22" s="146"/>
      <c r="E22" s="146"/>
      <c r="F22" s="51" t="s">
        <v>31</v>
      </c>
      <c r="G22" s="147">
        <v>246714802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4522865530</v>
      </c>
      <c r="P22" s="146"/>
      <c r="Q22" s="146"/>
      <c r="R22" s="51" t="str">
        <f>F22</f>
        <v>)</v>
      </c>
      <c r="S22" s="147">
        <f>G22</f>
        <v>246714802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B186-0441-4D60-96E0-B13BCE75E486}">
  <sheetPr codeName="Sheet7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이백육십오만사천육백삼십원정    (  \</v>
      </c>
      <c r="D9" s="24"/>
      <c r="E9" s="24"/>
      <c r="F9" s="23"/>
      <c r="G9" s="128">
        <f>SUM(F20)</f>
        <v>2654630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이백육십오만사천육백삼십원정    (  \</v>
      </c>
      <c r="P9" s="24"/>
      <c r="Q9" s="24"/>
      <c r="R9" s="23"/>
      <c r="S9" s="128">
        <f>SUM(R20)</f>
        <v>2654630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62</v>
      </c>
      <c r="D11" s="133"/>
      <c r="E11" s="34">
        <v>1</v>
      </c>
      <c r="F11" s="35">
        <v>2413300</v>
      </c>
      <c r="G11" s="134">
        <f>E11*F11</f>
        <v>2413300</v>
      </c>
      <c r="H11" s="134"/>
      <c r="I11" s="63">
        <f>ROUND(SUM(G11*0.1),0)</f>
        <v>241330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0247-07965</v>
      </c>
      <c r="P11" s="133"/>
      <c r="Q11" s="67">
        <v>1</v>
      </c>
      <c r="R11" s="35">
        <f>F11</f>
        <v>2413300</v>
      </c>
      <c r="S11" s="134">
        <f>G11</f>
        <v>2413300</v>
      </c>
      <c r="T11" s="134"/>
      <c r="U11" s="63">
        <f>I11</f>
        <v>241330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2413300</v>
      </c>
      <c r="G19" s="150">
        <f>SUM(G11:H18)</f>
        <v>2413300</v>
      </c>
      <c r="H19" s="151"/>
      <c r="I19" s="75">
        <f>SUM(I11:I18)</f>
        <v>241330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2413300</v>
      </c>
      <c r="S19" s="150">
        <f>G19</f>
        <v>2413300</v>
      </c>
      <c r="T19" s="151"/>
      <c r="U19" s="75">
        <f>I19</f>
        <v>241330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2654630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2654630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4522875058</v>
      </c>
      <c r="D22" s="146"/>
      <c r="E22" s="146"/>
      <c r="F22" s="51" t="s">
        <v>31</v>
      </c>
      <c r="G22" s="147">
        <v>169372516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4522875058</v>
      </c>
      <c r="P22" s="146"/>
      <c r="Q22" s="146"/>
      <c r="R22" s="51" t="str">
        <f>F22</f>
        <v>)</v>
      </c>
      <c r="S22" s="147">
        <f>G22</f>
        <v>169372516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35910-99C2-4158-9798-037549341395}">
  <sheetPr codeName="Sheet8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오십육만사천삼백원정    (  \</v>
      </c>
      <c r="D9" s="24"/>
      <c r="E9" s="24"/>
      <c r="F9" s="23"/>
      <c r="G9" s="128">
        <f>SUM(F20)</f>
        <v>564300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오십육만사천삼백원정    (  \</v>
      </c>
      <c r="P9" s="24"/>
      <c r="Q9" s="24"/>
      <c r="R9" s="23"/>
      <c r="S9" s="128">
        <f>SUM(R20)</f>
        <v>564300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63</v>
      </c>
      <c r="D11" s="133"/>
      <c r="E11" s="34">
        <v>1</v>
      </c>
      <c r="F11" s="35">
        <v>513000</v>
      </c>
      <c r="G11" s="134">
        <f>E11*F11</f>
        <v>513000</v>
      </c>
      <c r="H11" s="134"/>
      <c r="I11" s="63">
        <f>ROUND(SUM(G11*0.1),0)</f>
        <v>51300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0247-08810</v>
      </c>
      <c r="P11" s="133"/>
      <c r="Q11" s="67">
        <v>1</v>
      </c>
      <c r="R11" s="35">
        <f>F11</f>
        <v>513000</v>
      </c>
      <c r="S11" s="134">
        <f>G11</f>
        <v>513000</v>
      </c>
      <c r="T11" s="134"/>
      <c r="U11" s="63">
        <f>I11</f>
        <v>51300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513000</v>
      </c>
      <c r="G19" s="150">
        <f>SUM(G11:H18)</f>
        <v>513000</v>
      </c>
      <c r="H19" s="151"/>
      <c r="I19" s="75">
        <f>SUM(I11:I18)</f>
        <v>51300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513000</v>
      </c>
      <c r="S19" s="150">
        <f>G19</f>
        <v>513000</v>
      </c>
      <c r="T19" s="151"/>
      <c r="U19" s="75">
        <f>I19</f>
        <v>51300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564300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564300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4522875466</v>
      </c>
      <c r="D22" s="146"/>
      <c r="E22" s="146"/>
      <c r="F22" s="51" t="s">
        <v>31</v>
      </c>
      <c r="G22" s="147">
        <v>234923610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4522875466</v>
      </c>
      <c r="P22" s="146"/>
      <c r="Q22" s="146"/>
      <c r="R22" s="51" t="str">
        <f>F22</f>
        <v>)</v>
      </c>
      <c r="S22" s="147">
        <f>G22</f>
        <v>234923610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41651-07CE-4F18-AF6D-C25CA30A6BB0}">
  <sheetPr codeName="Sheet9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오십육만사천삼백원정    (  \</v>
      </c>
      <c r="D9" s="24"/>
      <c r="E9" s="24"/>
      <c r="F9" s="23"/>
      <c r="G9" s="128">
        <f>SUM(F20)</f>
        <v>564300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오십육만사천삼백원정    (  \</v>
      </c>
      <c r="P9" s="24"/>
      <c r="Q9" s="24"/>
      <c r="R9" s="23"/>
      <c r="S9" s="128">
        <f>SUM(R20)</f>
        <v>564300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63</v>
      </c>
      <c r="D11" s="133"/>
      <c r="E11" s="34">
        <v>1</v>
      </c>
      <c r="F11" s="35">
        <v>513000</v>
      </c>
      <c r="G11" s="134">
        <f>E11*F11</f>
        <v>513000</v>
      </c>
      <c r="H11" s="134"/>
      <c r="I11" s="63">
        <f>ROUND(SUM(G11*0.1),0)</f>
        <v>51300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0247-08810</v>
      </c>
      <c r="P11" s="133"/>
      <c r="Q11" s="67">
        <v>1</v>
      </c>
      <c r="R11" s="35">
        <f>F11</f>
        <v>513000</v>
      </c>
      <c r="S11" s="134">
        <f>G11</f>
        <v>513000</v>
      </c>
      <c r="T11" s="134"/>
      <c r="U11" s="63">
        <f>I11</f>
        <v>51300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513000</v>
      </c>
      <c r="G19" s="150">
        <f>SUM(G11:H18)</f>
        <v>513000</v>
      </c>
      <c r="H19" s="151"/>
      <c r="I19" s="75">
        <f>SUM(I11:I18)</f>
        <v>51300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513000</v>
      </c>
      <c r="S19" s="150">
        <f>G19</f>
        <v>513000</v>
      </c>
      <c r="T19" s="151"/>
      <c r="U19" s="75">
        <f>I19</f>
        <v>51300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564300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564300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4522875365</v>
      </c>
      <c r="D22" s="146"/>
      <c r="E22" s="146"/>
      <c r="F22" s="51" t="s">
        <v>31</v>
      </c>
      <c r="G22" s="147">
        <v>246714906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4522875365</v>
      </c>
      <c r="P22" s="146"/>
      <c r="Q22" s="146"/>
      <c r="R22" s="51" t="str">
        <f>F22</f>
        <v>)</v>
      </c>
      <c r="S22" s="147">
        <f>G22</f>
        <v>246714906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7721F-B04C-42F6-A5E8-65BD5A5AB97F}">
  <sheetPr codeName="Sheet10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오십육만사천삼백원정    (  \</v>
      </c>
      <c r="D9" s="24"/>
      <c r="E9" s="24"/>
      <c r="F9" s="23"/>
      <c r="G9" s="128">
        <f>SUM(F20)</f>
        <v>564300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오십육만사천삼백원정    (  \</v>
      </c>
      <c r="P9" s="24"/>
      <c r="Q9" s="24"/>
      <c r="R9" s="23"/>
      <c r="S9" s="128">
        <f>SUM(R20)</f>
        <v>564300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63</v>
      </c>
      <c r="D11" s="133"/>
      <c r="E11" s="34">
        <v>1</v>
      </c>
      <c r="F11" s="35">
        <v>513000</v>
      </c>
      <c r="G11" s="134">
        <f>E11*F11</f>
        <v>513000</v>
      </c>
      <c r="H11" s="134"/>
      <c r="I11" s="63">
        <f>ROUND(SUM(G11*0.1),0)</f>
        <v>51300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0247-08810</v>
      </c>
      <c r="P11" s="133"/>
      <c r="Q11" s="67">
        <v>1</v>
      </c>
      <c r="R11" s="35">
        <f>F11</f>
        <v>513000</v>
      </c>
      <c r="S11" s="134">
        <f>G11</f>
        <v>513000</v>
      </c>
      <c r="T11" s="134"/>
      <c r="U11" s="63">
        <f>I11</f>
        <v>51300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513000</v>
      </c>
      <c r="G19" s="150">
        <f>SUM(G11:H18)</f>
        <v>513000</v>
      </c>
      <c r="H19" s="151"/>
      <c r="I19" s="75">
        <f>SUM(I11:I18)</f>
        <v>51300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513000</v>
      </c>
      <c r="S19" s="150">
        <f>G19</f>
        <v>513000</v>
      </c>
      <c r="T19" s="151"/>
      <c r="U19" s="75">
        <f>I19</f>
        <v>51300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564300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564300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4522875359</v>
      </c>
      <c r="D22" s="146"/>
      <c r="E22" s="146"/>
      <c r="F22" s="51" t="s">
        <v>31</v>
      </c>
      <c r="G22" s="147">
        <v>240003102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4522875359</v>
      </c>
      <c r="P22" s="146"/>
      <c r="Q22" s="146"/>
      <c r="R22" s="51" t="str">
        <f>F22</f>
        <v>)</v>
      </c>
      <c r="S22" s="147">
        <f>G22</f>
        <v>240003102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85E19-6B7F-42F5-9700-602524C28383}">
  <sheetPr codeName="Sheet11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오십육만사천삼백원정    (  \</v>
      </c>
      <c r="D9" s="24"/>
      <c r="E9" s="24"/>
      <c r="F9" s="23"/>
      <c r="G9" s="128">
        <f>SUM(F20)</f>
        <v>564300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오십육만사천삼백원정    (  \</v>
      </c>
      <c r="P9" s="24"/>
      <c r="Q9" s="24"/>
      <c r="R9" s="23"/>
      <c r="S9" s="128">
        <f>SUM(R20)</f>
        <v>564300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63</v>
      </c>
      <c r="D11" s="133"/>
      <c r="E11" s="34">
        <v>1</v>
      </c>
      <c r="F11" s="35">
        <v>513000</v>
      </c>
      <c r="G11" s="134">
        <f>E11*F11</f>
        <v>513000</v>
      </c>
      <c r="H11" s="134"/>
      <c r="I11" s="63">
        <f>ROUND(SUM(G11*0.1),0)</f>
        <v>51300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0247-08810</v>
      </c>
      <c r="P11" s="133"/>
      <c r="Q11" s="67">
        <v>1</v>
      </c>
      <c r="R11" s="35">
        <f>F11</f>
        <v>513000</v>
      </c>
      <c r="S11" s="134">
        <f>G11</f>
        <v>513000</v>
      </c>
      <c r="T11" s="134"/>
      <c r="U11" s="63">
        <f>I11</f>
        <v>51300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513000</v>
      </c>
      <c r="G19" s="150">
        <f>SUM(G11:H18)</f>
        <v>513000</v>
      </c>
      <c r="H19" s="151"/>
      <c r="I19" s="75">
        <f>SUM(I11:I18)</f>
        <v>51300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513000</v>
      </c>
      <c r="S19" s="150">
        <f>G19</f>
        <v>513000</v>
      </c>
      <c r="T19" s="151"/>
      <c r="U19" s="75">
        <f>I19</f>
        <v>51300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564300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564300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4522875480</v>
      </c>
      <c r="D22" s="146"/>
      <c r="E22" s="146"/>
      <c r="F22" s="51" t="s">
        <v>31</v>
      </c>
      <c r="G22" s="147">
        <v>237274208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4522875480</v>
      </c>
      <c r="P22" s="146"/>
      <c r="Q22" s="146"/>
      <c r="R22" s="51" t="str">
        <f>F22</f>
        <v>)</v>
      </c>
      <c r="S22" s="147">
        <f>G22</f>
        <v>237274208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CCA20-8E9D-4A8B-8058-BB65D052EAAE}">
  <sheetPr codeName="Sheet12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오십육만사천삼백원정    (  \</v>
      </c>
      <c r="D9" s="24"/>
      <c r="E9" s="24"/>
      <c r="F9" s="23"/>
      <c r="G9" s="128">
        <f>SUM(F20)</f>
        <v>564300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오십육만사천삼백원정    (  \</v>
      </c>
      <c r="P9" s="24"/>
      <c r="Q9" s="24"/>
      <c r="R9" s="23"/>
      <c r="S9" s="128">
        <f>SUM(R20)</f>
        <v>564300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63</v>
      </c>
      <c r="D11" s="133"/>
      <c r="E11" s="34">
        <v>1</v>
      </c>
      <c r="F11" s="35">
        <v>513000</v>
      </c>
      <c r="G11" s="134">
        <f>E11*F11</f>
        <v>513000</v>
      </c>
      <c r="H11" s="134"/>
      <c r="I11" s="63">
        <f>ROUND(SUM(G11*0.1),0)</f>
        <v>51300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0247-08810</v>
      </c>
      <c r="P11" s="133"/>
      <c r="Q11" s="67">
        <v>1</v>
      </c>
      <c r="R11" s="35">
        <f>F11</f>
        <v>513000</v>
      </c>
      <c r="S11" s="134">
        <f>G11</f>
        <v>513000</v>
      </c>
      <c r="T11" s="134"/>
      <c r="U11" s="63">
        <f>I11</f>
        <v>51300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513000</v>
      </c>
      <c r="G19" s="150">
        <f>SUM(G11:H18)</f>
        <v>513000</v>
      </c>
      <c r="H19" s="151"/>
      <c r="I19" s="75">
        <f>SUM(I11:I18)</f>
        <v>51300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513000</v>
      </c>
      <c r="S19" s="150">
        <f>G19</f>
        <v>513000</v>
      </c>
      <c r="T19" s="151"/>
      <c r="U19" s="75">
        <f>I19</f>
        <v>51300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564300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564300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4522875397</v>
      </c>
      <c r="D22" s="146"/>
      <c r="E22" s="146"/>
      <c r="F22" s="51" t="s">
        <v>31</v>
      </c>
      <c r="G22" s="147">
        <v>238339802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4522875397</v>
      </c>
      <c r="P22" s="146"/>
      <c r="Q22" s="146"/>
      <c r="R22" s="51" t="str">
        <f>F22</f>
        <v>)</v>
      </c>
      <c r="S22" s="147">
        <f>G22</f>
        <v>238339802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C3E0D-598C-4126-A09D-BD02F93470CA}">
  <sheetPr codeName="Sheet13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오십육만사천삼백원정    (  \</v>
      </c>
      <c r="D9" s="24"/>
      <c r="E9" s="24"/>
      <c r="F9" s="23"/>
      <c r="G9" s="128">
        <f>SUM(F20)</f>
        <v>564300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오십육만사천삼백원정    (  \</v>
      </c>
      <c r="P9" s="24"/>
      <c r="Q9" s="24"/>
      <c r="R9" s="23"/>
      <c r="S9" s="128">
        <f>SUM(R20)</f>
        <v>564300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63</v>
      </c>
      <c r="D11" s="133"/>
      <c r="E11" s="34">
        <v>1</v>
      </c>
      <c r="F11" s="35">
        <v>513000</v>
      </c>
      <c r="G11" s="134">
        <f>E11*F11</f>
        <v>513000</v>
      </c>
      <c r="H11" s="134"/>
      <c r="I11" s="63">
        <f>ROUND(SUM(G11*0.1),0)</f>
        <v>51300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0247-08810</v>
      </c>
      <c r="P11" s="133"/>
      <c r="Q11" s="67">
        <v>1</v>
      </c>
      <c r="R11" s="35">
        <f>F11</f>
        <v>513000</v>
      </c>
      <c r="S11" s="134">
        <f>G11</f>
        <v>513000</v>
      </c>
      <c r="T11" s="134"/>
      <c r="U11" s="63">
        <f>I11</f>
        <v>51300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513000</v>
      </c>
      <c r="G19" s="150">
        <f>SUM(G11:H18)</f>
        <v>513000</v>
      </c>
      <c r="H19" s="151"/>
      <c r="I19" s="75">
        <f>SUM(I11:I18)</f>
        <v>51300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513000</v>
      </c>
      <c r="S19" s="150">
        <f>G19</f>
        <v>513000</v>
      </c>
      <c r="T19" s="151"/>
      <c r="U19" s="75">
        <f>I19</f>
        <v>51300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564300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564300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4522875459</v>
      </c>
      <c r="D22" s="146"/>
      <c r="E22" s="146"/>
      <c r="F22" s="51" t="s">
        <v>31</v>
      </c>
      <c r="G22" s="147">
        <v>219353612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4522875459</v>
      </c>
      <c r="P22" s="146"/>
      <c r="Q22" s="146"/>
      <c r="R22" s="51" t="str">
        <f>F22</f>
        <v>)</v>
      </c>
      <c r="S22" s="147">
        <f>G22</f>
        <v>219353612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A3645-86DD-4CAA-A490-62CB4C285654}">
  <sheetPr codeName="Sheet14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오십육만사천삼백원정    (  \</v>
      </c>
      <c r="D9" s="24"/>
      <c r="E9" s="24"/>
      <c r="F9" s="23"/>
      <c r="G9" s="128">
        <f>SUM(F20)</f>
        <v>564300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오십육만사천삼백원정    (  \</v>
      </c>
      <c r="P9" s="24"/>
      <c r="Q9" s="24"/>
      <c r="R9" s="23"/>
      <c r="S9" s="128">
        <f>SUM(R20)</f>
        <v>564300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63</v>
      </c>
      <c r="D11" s="133"/>
      <c r="E11" s="34">
        <v>1</v>
      </c>
      <c r="F11" s="35">
        <v>513000</v>
      </c>
      <c r="G11" s="134">
        <f>E11*F11</f>
        <v>513000</v>
      </c>
      <c r="H11" s="134"/>
      <c r="I11" s="63">
        <f>ROUND(SUM(G11*0.1),0)</f>
        <v>51300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0247-08810</v>
      </c>
      <c r="P11" s="133"/>
      <c r="Q11" s="67">
        <v>1</v>
      </c>
      <c r="R11" s="35">
        <f>F11</f>
        <v>513000</v>
      </c>
      <c r="S11" s="134">
        <f>G11</f>
        <v>513000</v>
      </c>
      <c r="T11" s="134"/>
      <c r="U11" s="63">
        <f>I11</f>
        <v>51300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513000</v>
      </c>
      <c r="G19" s="150">
        <f>SUM(G11:H18)</f>
        <v>513000</v>
      </c>
      <c r="H19" s="151"/>
      <c r="I19" s="75">
        <f>SUM(I11:I18)</f>
        <v>51300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513000</v>
      </c>
      <c r="S19" s="150">
        <f>G19</f>
        <v>513000</v>
      </c>
      <c r="T19" s="151"/>
      <c r="U19" s="75">
        <f>I19</f>
        <v>51300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564300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564300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4522875435</v>
      </c>
      <c r="D22" s="146"/>
      <c r="E22" s="146"/>
      <c r="F22" s="51" t="s">
        <v>31</v>
      </c>
      <c r="G22" s="147">
        <v>231454603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4522875435</v>
      </c>
      <c r="P22" s="146"/>
      <c r="Q22" s="146"/>
      <c r="R22" s="51" t="str">
        <f>F22</f>
        <v>)</v>
      </c>
      <c r="S22" s="147">
        <f>G22</f>
        <v>231454603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C5A0B-1BC2-4C0C-B706-4AE200FDF3F9}">
  <sheetPr codeName="Sheet15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오십육만사천삼백원정    (  \</v>
      </c>
      <c r="D9" s="24"/>
      <c r="E9" s="24"/>
      <c r="F9" s="23"/>
      <c r="G9" s="128">
        <f>SUM(F20)</f>
        <v>564300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오십육만사천삼백원정    (  \</v>
      </c>
      <c r="P9" s="24"/>
      <c r="Q9" s="24"/>
      <c r="R9" s="23"/>
      <c r="S9" s="128">
        <f>SUM(R20)</f>
        <v>564300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65</v>
      </c>
      <c r="D11" s="133"/>
      <c r="E11" s="34">
        <v>1</v>
      </c>
      <c r="F11" s="35">
        <v>513000</v>
      </c>
      <c r="G11" s="134">
        <f>E11*F11</f>
        <v>513000</v>
      </c>
      <c r="H11" s="134"/>
      <c r="I11" s="63">
        <f>ROUND(SUM(G11*0.1),0)</f>
        <v>51300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0247-05612</v>
      </c>
      <c r="P11" s="133"/>
      <c r="Q11" s="67">
        <v>1</v>
      </c>
      <c r="R11" s="35">
        <f>F11</f>
        <v>513000</v>
      </c>
      <c r="S11" s="134">
        <f>G11</f>
        <v>513000</v>
      </c>
      <c r="T11" s="134"/>
      <c r="U11" s="63">
        <f>I11</f>
        <v>51300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513000</v>
      </c>
      <c r="G19" s="150">
        <f>SUM(G11:H18)</f>
        <v>513000</v>
      </c>
      <c r="H19" s="151"/>
      <c r="I19" s="75">
        <f>SUM(I11:I18)</f>
        <v>51300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513000</v>
      </c>
      <c r="S19" s="150">
        <f>G19</f>
        <v>513000</v>
      </c>
      <c r="T19" s="151"/>
      <c r="U19" s="75">
        <f>I19</f>
        <v>51300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564300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564300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4522866605</v>
      </c>
      <c r="D22" s="146"/>
      <c r="E22" s="146"/>
      <c r="F22" s="51" t="s">
        <v>31</v>
      </c>
      <c r="G22" s="147">
        <v>137485306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4522866605</v>
      </c>
      <c r="P22" s="146"/>
      <c r="Q22" s="146"/>
      <c r="R22" s="51" t="str">
        <f>F22</f>
        <v>)</v>
      </c>
      <c r="S22" s="147">
        <f>G22</f>
        <v>137485306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AE4FA-7FF2-40A6-947B-D72FD7F3DA5D}">
  <sheetPr codeName="Sheet16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사백팔십만오천칠백구십원정    (  \</v>
      </c>
      <c r="D9" s="24"/>
      <c r="E9" s="24"/>
      <c r="F9" s="23"/>
      <c r="G9" s="128">
        <f>SUM(F20)</f>
        <v>4805790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사백팔십만오천칠백구십원정    (  \</v>
      </c>
      <c r="P9" s="24"/>
      <c r="Q9" s="24"/>
      <c r="R9" s="23"/>
      <c r="S9" s="128">
        <f>SUM(R20)</f>
        <v>4805790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66</v>
      </c>
      <c r="D11" s="133"/>
      <c r="E11" s="34">
        <v>1</v>
      </c>
      <c r="F11" s="35">
        <v>4368900</v>
      </c>
      <c r="G11" s="134">
        <f>E11*F11</f>
        <v>4368900</v>
      </c>
      <c r="H11" s="134"/>
      <c r="I11" s="63">
        <f>ROUND(SUM(G11*0.1),0)</f>
        <v>436890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0247-04585</v>
      </c>
      <c r="P11" s="133"/>
      <c r="Q11" s="67">
        <v>1</v>
      </c>
      <c r="R11" s="35">
        <f>F11</f>
        <v>4368900</v>
      </c>
      <c r="S11" s="134">
        <f>G11</f>
        <v>4368900</v>
      </c>
      <c r="T11" s="134"/>
      <c r="U11" s="63">
        <f>I11</f>
        <v>436890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4368900</v>
      </c>
      <c r="G19" s="150">
        <f>SUM(G11:H18)</f>
        <v>4368900</v>
      </c>
      <c r="H19" s="151"/>
      <c r="I19" s="75">
        <f>SUM(I11:I18)</f>
        <v>436890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4368900</v>
      </c>
      <c r="S19" s="150">
        <f>G19</f>
        <v>4368900</v>
      </c>
      <c r="T19" s="151"/>
      <c r="U19" s="75">
        <f>I19</f>
        <v>436890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4805790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4805790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4522875887</v>
      </c>
      <c r="D22" s="146"/>
      <c r="E22" s="146"/>
      <c r="F22" s="51" t="s">
        <v>31</v>
      </c>
      <c r="G22" s="147">
        <v>125139908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4522875887</v>
      </c>
      <c r="P22" s="146"/>
      <c r="Q22" s="146"/>
      <c r="R22" s="51" t="str">
        <f>F22</f>
        <v>)</v>
      </c>
      <c r="S22" s="147">
        <f>G22</f>
        <v>125139908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196BD-8C45-4176-A93A-A74D52E9D1DA}">
  <sheetPr codeName="Sheet17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오십육만사천삼백원정    (  \</v>
      </c>
      <c r="D9" s="24"/>
      <c r="E9" s="24"/>
      <c r="F9" s="23"/>
      <c r="G9" s="128">
        <f>SUM(F20)</f>
        <v>564300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오십육만사천삼백원정    (  \</v>
      </c>
      <c r="P9" s="24"/>
      <c r="Q9" s="24"/>
      <c r="R9" s="23"/>
      <c r="S9" s="128">
        <f>SUM(R20)</f>
        <v>564300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65</v>
      </c>
      <c r="D11" s="133"/>
      <c r="E11" s="34">
        <v>1</v>
      </c>
      <c r="F11" s="35">
        <v>513000</v>
      </c>
      <c r="G11" s="134">
        <f>E11*F11</f>
        <v>513000</v>
      </c>
      <c r="H11" s="134"/>
      <c r="I11" s="63">
        <f>ROUND(SUM(G11*0.1),0)</f>
        <v>51300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0247-05612</v>
      </c>
      <c r="P11" s="133"/>
      <c r="Q11" s="67">
        <v>1</v>
      </c>
      <c r="R11" s="35">
        <f>F11</f>
        <v>513000</v>
      </c>
      <c r="S11" s="134">
        <f>G11</f>
        <v>513000</v>
      </c>
      <c r="T11" s="134"/>
      <c r="U11" s="63">
        <f>I11</f>
        <v>51300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513000</v>
      </c>
      <c r="G19" s="150">
        <f>SUM(G11:H18)</f>
        <v>513000</v>
      </c>
      <c r="H19" s="151"/>
      <c r="I19" s="75">
        <f>SUM(I11:I18)</f>
        <v>51300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513000</v>
      </c>
      <c r="S19" s="150">
        <f>G19</f>
        <v>513000</v>
      </c>
      <c r="T19" s="151"/>
      <c r="U19" s="75">
        <f>I19</f>
        <v>51300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564300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564300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4522866561</v>
      </c>
      <c r="D22" s="146"/>
      <c r="E22" s="146"/>
      <c r="F22" s="51" t="s">
        <v>31</v>
      </c>
      <c r="G22" s="147">
        <v>233207205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4522866561</v>
      </c>
      <c r="P22" s="146"/>
      <c r="Q22" s="146"/>
      <c r="R22" s="51" t="str">
        <f>F22</f>
        <v>)</v>
      </c>
      <c r="S22" s="147">
        <f>G22</f>
        <v>233207205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3CAA-C330-474D-8FFA-46D697A3DA5B}">
  <sheetPr codeName="Sheet18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오십육만사천삼백원정    (  \</v>
      </c>
      <c r="D9" s="24"/>
      <c r="E9" s="24"/>
      <c r="F9" s="23"/>
      <c r="G9" s="128">
        <f>SUM(F20)</f>
        <v>564300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오십육만사천삼백원정    (  \</v>
      </c>
      <c r="P9" s="24"/>
      <c r="Q9" s="24"/>
      <c r="R9" s="23"/>
      <c r="S9" s="128">
        <f>SUM(R20)</f>
        <v>564300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65</v>
      </c>
      <c r="D11" s="133"/>
      <c r="E11" s="34">
        <v>1</v>
      </c>
      <c r="F11" s="35">
        <v>513000</v>
      </c>
      <c r="G11" s="134">
        <f>E11*F11</f>
        <v>513000</v>
      </c>
      <c r="H11" s="134"/>
      <c r="I11" s="63">
        <f>ROUND(SUM(G11*0.1),0)</f>
        <v>51300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0247-05612</v>
      </c>
      <c r="P11" s="133"/>
      <c r="Q11" s="67">
        <v>1</v>
      </c>
      <c r="R11" s="35">
        <f>F11</f>
        <v>513000</v>
      </c>
      <c r="S11" s="134">
        <f>G11</f>
        <v>513000</v>
      </c>
      <c r="T11" s="134"/>
      <c r="U11" s="63">
        <f>I11</f>
        <v>51300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513000</v>
      </c>
      <c r="G19" s="150">
        <f>SUM(G11:H18)</f>
        <v>513000</v>
      </c>
      <c r="H19" s="151"/>
      <c r="I19" s="75">
        <f>SUM(I11:I18)</f>
        <v>51300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513000</v>
      </c>
      <c r="S19" s="150">
        <f>G19</f>
        <v>513000</v>
      </c>
      <c r="T19" s="151"/>
      <c r="U19" s="75">
        <f>I19</f>
        <v>51300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564300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564300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4522876043</v>
      </c>
      <c r="D22" s="146"/>
      <c r="E22" s="146"/>
      <c r="F22" s="51" t="s">
        <v>31</v>
      </c>
      <c r="G22" s="147">
        <v>127487001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4522876043</v>
      </c>
      <c r="P22" s="146"/>
      <c r="Q22" s="146"/>
      <c r="R22" s="51" t="str">
        <f>F22</f>
        <v>)</v>
      </c>
      <c r="S22" s="147">
        <f>G22</f>
        <v>127487001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0D3E-4BFD-42E3-A09B-9F0E96E2D7B5}">
  <sheetPr codeName="Sheet19">
    <pageSetUpPr fitToPage="1"/>
  </sheetPr>
  <dimension ref="A1:X22"/>
  <sheetViews>
    <sheetView showZeros="0" zoomScale="85" zoomScaleNormal="85" zoomScaleSheetLayoutView="100" workbookViewId="0">
      <selection activeCell="R11" sqref="R11"/>
    </sheetView>
  </sheetViews>
  <sheetFormatPr defaultColWidth="9" defaultRowHeight="16.5"/>
  <cols>
    <col min="1" max="1" width="1.125" style="1" customWidth="1"/>
    <col min="2" max="2" width="22.5" style="1" customWidth="1"/>
    <col min="3" max="3" width="7.625" style="1" customWidth="1"/>
    <col min="4" max="5" width="4.25" style="1" customWidth="1"/>
    <col min="6" max="6" width="12.5" style="1" bestFit="1" customWidth="1"/>
    <col min="7" max="7" width="6.625" style="1" customWidth="1"/>
    <col min="8" max="8" width="7.625" style="1" customWidth="1"/>
    <col min="9" max="9" width="12.625" style="1" customWidth="1"/>
    <col min="10" max="10" width="1.125" style="1" customWidth="1"/>
    <col min="11" max="12" width="3" style="1" customWidth="1"/>
    <col min="13" max="13" width="1.125" style="1" customWidth="1"/>
    <col min="14" max="14" width="22.5" style="1" customWidth="1"/>
    <col min="15" max="15" width="7.625" style="1" customWidth="1"/>
    <col min="16" max="17" width="4.25" style="1" customWidth="1"/>
    <col min="18" max="18" width="12.5" style="1" bestFit="1" customWidth="1"/>
    <col min="19" max="19" width="6.625" style="1" customWidth="1"/>
    <col min="20" max="20" width="7.625" style="1" customWidth="1"/>
    <col min="21" max="21" width="12.625" style="1" customWidth="1"/>
    <col min="22" max="22" width="1.125" style="1" customWidth="1"/>
    <col min="23" max="16384" width="9" style="1"/>
  </cols>
  <sheetData>
    <row r="1" spans="1:24" ht="20.100000000000001" customHeight="1"/>
    <row r="2" spans="1:24" ht="18" customHeight="1">
      <c r="A2" s="2"/>
      <c r="B2" s="160" t="s">
        <v>51</v>
      </c>
      <c r="C2" s="160"/>
      <c r="D2" s="160"/>
      <c r="E2" s="160"/>
      <c r="F2" s="160"/>
      <c r="G2" s="160"/>
      <c r="H2" s="160"/>
      <c r="I2" s="160"/>
      <c r="J2" s="3"/>
      <c r="K2" s="4"/>
      <c r="L2" s="5"/>
      <c r="M2" s="2"/>
      <c r="N2" s="160" t="str">
        <f>B2</f>
        <v>Shipment No.</v>
      </c>
      <c r="O2" s="160"/>
      <c r="P2" s="160"/>
      <c r="Q2" s="160"/>
      <c r="R2" s="160"/>
      <c r="S2" s="160"/>
      <c r="T2" s="160"/>
      <c r="U2" s="160"/>
      <c r="V2" s="3"/>
      <c r="X2" s="58"/>
    </row>
    <row r="3" spans="1:24" ht="40.15" customHeight="1" thickBot="1">
      <c r="A3" s="6"/>
      <c r="B3" s="119" t="s">
        <v>0</v>
      </c>
      <c r="C3" s="119"/>
      <c r="D3" s="119"/>
      <c r="E3" s="119"/>
      <c r="F3" s="119"/>
      <c r="G3" s="119"/>
      <c r="H3" s="119"/>
      <c r="I3" s="119"/>
      <c r="J3" s="7"/>
      <c r="K3" s="8"/>
      <c r="L3" s="7"/>
      <c r="M3" s="6"/>
      <c r="N3" s="119" t="s">
        <v>1</v>
      </c>
      <c r="O3" s="119"/>
      <c r="P3" s="119"/>
      <c r="Q3" s="119"/>
      <c r="R3" s="119"/>
      <c r="S3" s="119"/>
      <c r="T3" s="119"/>
      <c r="U3" s="119"/>
      <c r="V3" s="7"/>
    </row>
    <row r="4" spans="1:24" ht="30" customHeight="1" thickBot="1">
      <c r="A4" s="6"/>
      <c r="D4" s="120" t="s">
        <v>2</v>
      </c>
      <c r="E4" s="121"/>
      <c r="F4" s="122" t="s">
        <v>3</v>
      </c>
      <c r="G4" s="123"/>
      <c r="H4" s="123"/>
      <c r="I4" s="124"/>
      <c r="J4" s="9"/>
      <c r="K4" s="10"/>
      <c r="L4" s="9"/>
      <c r="M4" s="6"/>
      <c r="P4" s="120" t="s">
        <v>2</v>
      </c>
      <c r="Q4" s="121"/>
      <c r="R4" s="122" t="str">
        <f>F4</f>
        <v>1 2 4 - 8 6 - 3 3 8 9 2</v>
      </c>
      <c r="S4" s="123"/>
      <c r="T4" s="123"/>
      <c r="U4" s="124"/>
      <c r="V4" s="9"/>
      <c r="X4" s="20"/>
    </row>
    <row r="5" spans="1:24" ht="30" customHeight="1" thickBot="1">
      <c r="A5" s="6"/>
      <c r="B5" s="60">
        <v>46196</v>
      </c>
      <c r="C5" s="59"/>
      <c r="D5" s="120" t="s">
        <v>4</v>
      </c>
      <c r="E5" s="121"/>
      <c r="F5" s="11" t="s">
        <v>5</v>
      </c>
      <c r="G5" s="12" t="s">
        <v>6</v>
      </c>
      <c r="H5" s="117" t="s">
        <v>36</v>
      </c>
      <c r="I5" s="118"/>
      <c r="J5" s="13"/>
      <c r="K5" s="14"/>
      <c r="L5" s="13"/>
      <c r="M5" s="6"/>
      <c r="N5" s="60">
        <f>B5</f>
        <v>46196</v>
      </c>
      <c r="O5" s="61"/>
      <c r="P5" s="120" t="s">
        <v>4</v>
      </c>
      <c r="Q5" s="121"/>
      <c r="R5" s="11" t="s">
        <v>5</v>
      </c>
      <c r="S5" s="12" t="s">
        <v>6</v>
      </c>
      <c r="T5" s="117" t="s">
        <v>36</v>
      </c>
      <c r="U5" s="118"/>
      <c r="V5" s="13"/>
    </row>
    <row r="6" spans="1:24" ht="29.25" customHeight="1" thickBot="1">
      <c r="A6" s="15"/>
      <c r="B6" s="16" t="s">
        <v>37</v>
      </c>
      <c r="C6" s="17" t="s">
        <v>7</v>
      </c>
      <c r="D6" s="125" t="s">
        <v>8</v>
      </c>
      <c r="E6" s="126"/>
      <c r="F6" s="120" t="s">
        <v>9</v>
      </c>
      <c r="G6" s="127"/>
      <c r="H6" s="127"/>
      <c r="I6" s="121"/>
      <c r="J6" s="18"/>
      <c r="K6" s="19"/>
      <c r="L6" s="18"/>
      <c r="M6" s="15"/>
      <c r="N6" s="16" t="str">
        <f>B6</f>
        <v>어플라이드 머티어리얼즈 코리아㈜</v>
      </c>
      <c r="O6" s="17" t="s">
        <v>7</v>
      </c>
      <c r="P6" s="125" t="s">
        <v>8</v>
      </c>
      <c r="Q6" s="126"/>
      <c r="R6" s="120" t="str">
        <f>F6</f>
        <v>경기도 안성시 고삼면 안성대로 2061</v>
      </c>
      <c r="S6" s="127"/>
      <c r="T6" s="127"/>
      <c r="U6" s="121"/>
      <c r="V6" s="18"/>
    </row>
    <row r="7" spans="1:24" ht="30" customHeight="1" thickBot="1">
      <c r="A7" s="6"/>
      <c r="B7" s="20" t="s">
        <v>10</v>
      </c>
      <c r="D7" s="120" t="s">
        <v>11</v>
      </c>
      <c r="E7" s="121"/>
      <c r="F7" s="12" t="s">
        <v>12</v>
      </c>
      <c r="G7" s="12" t="s">
        <v>13</v>
      </c>
      <c r="H7" s="120" t="s">
        <v>14</v>
      </c>
      <c r="I7" s="121"/>
      <c r="J7" s="13"/>
      <c r="K7" s="14"/>
      <c r="L7" s="13"/>
      <c r="M7" s="6"/>
      <c r="N7" s="20" t="s">
        <v>10</v>
      </c>
      <c r="P7" s="120" t="s">
        <v>15</v>
      </c>
      <c r="Q7" s="121"/>
      <c r="R7" s="12" t="s">
        <v>12</v>
      </c>
      <c r="S7" s="12" t="s">
        <v>13</v>
      </c>
      <c r="T7" s="120" t="s">
        <v>14</v>
      </c>
      <c r="U7" s="121"/>
      <c r="V7" s="13"/>
    </row>
    <row r="8" spans="1:24" ht="10.15" customHeight="1">
      <c r="A8" s="6"/>
      <c r="B8" s="21"/>
      <c r="C8" s="21"/>
      <c r="D8" s="21"/>
      <c r="E8" s="21"/>
      <c r="F8" s="21"/>
      <c r="G8" s="21"/>
      <c r="H8" s="21"/>
      <c r="I8" s="21"/>
      <c r="J8" s="5"/>
      <c r="K8" s="4"/>
      <c r="L8" s="5"/>
      <c r="M8" s="6"/>
      <c r="V8" s="5"/>
    </row>
    <row r="9" spans="1:24" s="30" customFormat="1" ht="29.25" customHeight="1">
      <c r="A9" s="22"/>
      <c r="B9" s="23" t="s">
        <v>16</v>
      </c>
      <c r="C9" s="24" t="str">
        <f>NUMBERSTRING(G9,1)&amp;"원정    (  \"</f>
        <v>오십육만사천삼백원정    (  \</v>
      </c>
      <c r="D9" s="24"/>
      <c r="E9" s="24"/>
      <c r="F9" s="23"/>
      <c r="G9" s="128">
        <f>SUM(F20)</f>
        <v>564300</v>
      </c>
      <c r="H9" s="128"/>
      <c r="I9" s="55" t="s">
        <v>17</v>
      </c>
      <c r="J9" s="25"/>
      <c r="K9" s="26"/>
      <c r="L9" s="25"/>
      <c r="M9" s="27"/>
      <c r="N9" s="28" t="s">
        <v>16</v>
      </c>
      <c r="O9" s="24" t="str">
        <f>NUMBERSTRING(S9,1)&amp;"원정    (  \"</f>
        <v>오십육만사천삼백원정    (  \</v>
      </c>
      <c r="P9" s="24"/>
      <c r="Q9" s="24"/>
      <c r="R9" s="23"/>
      <c r="S9" s="128">
        <f>SUM(R20)</f>
        <v>564300</v>
      </c>
      <c r="T9" s="128"/>
      <c r="U9" s="55" t="s">
        <v>17</v>
      </c>
      <c r="V9" s="29"/>
    </row>
    <row r="10" spans="1:24" s="30" customFormat="1" ht="29.25" customHeight="1" thickBot="1">
      <c r="A10" s="31"/>
      <c r="B10" s="56" t="s">
        <v>18</v>
      </c>
      <c r="C10" s="129" t="s">
        <v>19</v>
      </c>
      <c r="D10" s="130"/>
      <c r="E10" s="57" t="s">
        <v>20</v>
      </c>
      <c r="F10" s="57" t="s">
        <v>21</v>
      </c>
      <c r="G10" s="131" t="s">
        <v>22</v>
      </c>
      <c r="H10" s="131"/>
      <c r="I10" s="57" t="s">
        <v>23</v>
      </c>
      <c r="J10" s="13"/>
      <c r="K10" s="14"/>
      <c r="L10" s="13"/>
      <c r="M10" s="27"/>
      <c r="N10" s="57" t="s">
        <v>18</v>
      </c>
      <c r="O10" s="129" t="s">
        <v>19</v>
      </c>
      <c r="P10" s="130"/>
      <c r="Q10" s="57" t="s">
        <v>20</v>
      </c>
      <c r="R10" s="57" t="s">
        <v>21</v>
      </c>
      <c r="S10" s="131" t="s">
        <v>22</v>
      </c>
      <c r="T10" s="131"/>
      <c r="U10" s="57" t="s">
        <v>23</v>
      </c>
      <c r="V10" s="32"/>
    </row>
    <row r="11" spans="1:24" s="30" customFormat="1" ht="29.25" customHeight="1" thickTop="1">
      <c r="A11" s="31"/>
      <c r="B11" s="33" t="s">
        <v>46</v>
      </c>
      <c r="C11" s="132" t="s">
        <v>63</v>
      </c>
      <c r="D11" s="133"/>
      <c r="E11" s="34">
        <v>1</v>
      </c>
      <c r="F11" s="35">
        <v>513000</v>
      </c>
      <c r="G11" s="134">
        <f>E11*F11</f>
        <v>513000</v>
      </c>
      <c r="H11" s="134"/>
      <c r="I11" s="63">
        <f>ROUND(SUM(G11*0.1),0)</f>
        <v>51300</v>
      </c>
      <c r="J11" s="64"/>
      <c r="K11" s="65"/>
      <c r="L11" s="64"/>
      <c r="M11" s="66"/>
      <c r="N11" s="82" t="str">
        <f>B11</f>
        <v>SERVICE KIT, PPC, SOLID SEAL J-TYPE SAFE</v>
      </c>
      <c r="O11" s="132" t="str">
        <f>C11</f>
        <v>0247-08810</v>
      </c>
      <c r="P11" s="133"/>
      <c r="Q11" s="67">
        <v>1</v>
      </c>
      <c r="R11" s="35">
        <f>F11</f>
        <v>513000</v>
      </c>
      <c r="S11" s="134">
        <f>G11</f>
        <v>513000</v>
      </c>
      <c r="T11" s="134"/>
      <c r="U11" s="63">
        <f>I11</f>
        <v>51300</v>
      </c>
      <c r="V11" s="36"/>
    </row>
    <row r="12" spans="1:24" s="30" customFormat="1" ht="29.25" customHeight="1">
      <c r="A12" s="31"/>
      <c r="B12" s="37"/>
      <c r="C12" s="132"/>
      <c r="D12" s="133"/>
      <c r="E12" s="38"/>
      <c r="F12" s="35"/>
      <c r="G12" s="135"/>
      <c r="H12" s="135"/>
      <c r="I12" s="62"/>
      <c r="J12" s="64"/>
      <c r="K12" s="65"/>
      <c r="L12" s="64"/>
      <c r="M12" s="66"/>
      <c r="N12" s="68">
        <f t="shared" ref="N12:O12" si="0">B12</f>
        <v>0</v>
      </c>
      <c r="O12" s="136">
        <f t="shared" si="0"/>
        <v>0</v>
      </c>
      <c r="P12" s="137"/>
      <c r="Q12" s="67">
        <f>E12</f>
        <v>0</v>
      </c>
      <c r="R12" s="35">
        <f t="shared" ref="R12:S14" si="1">F12</f>
        <v>0</v>
      </c>
      <c r="S12" s="135">
        <f t="shared" si="1"/>
        <v>0</v>
      </c>
      <c r="T12" s="135"/>
      <c r="U12" s="62">
        <f t="shared" ref="U12" si="2">SUM(S12*0.1)</f>
        <v>0</v>
      </c>
      <c r="V12" s="36"/>
    </row>
    <row r="13" spans="1:24" s="30" customFormat="1" ht="29.25" customHeight="1">
      <c r="A13" s="31"/>
      <c r="B13" s="33"/>
      <c r="C13" s="132"/>
      <c r="D13" s="133"/>
      <c r="E13" s="38"/>
      <c r="F13" s="35"/>
      <c r="G13" s="135"/>
      <c r="H13" s="135"/>
      <c r="I13" s="62"/>
      <c r="J13" s="64"/>
      <c r="K13" s="65"/>
      <c r="L13" s="64"/>
      <c r="M13" s="66"/>
      <c r="N13" s="68">
        <f>B13</f>
        <v>0</v>
      </c>
      <c r="O13" s="136">
        <f>C13</f>
        <v>0</v>
      </c>
      <c r="P13" s="137"/>
      <c r="Q13" s="69">
        <f>E13</f>
        <v>0</v>
      </c>
      <c r="R13" s="35">
        <f>F13</f>
        <v>0</v>
      </c>
      <c r="S13" s="135">
        <f>G13</f>
        <v>0</v>
      </c>
      <c r="T13" s="135"/>
      <c r="U13" s="62">
        <f>I13</f>
        <v>0</v>
      </c>
      <c r="V13" s="36"/>
    </row>
    <row r="14" spans="1:24" s="30" customFormat="1" ht="29.25" customHeight="1">
      <c r="A14" s="31"/>
      <c r="B14" s="39"/>
      <c r="C14" s="138"/>
      <c r="D14" s="139"/>
      <c r="E14" s="38"/>
      <c r="F14" s="40"/>
      <c r="G14" s="140"/>
      <c r="H14" s="141"/>
      <c r="I14" s="53"/>
      <c r="J14" s="64"/>
      <c r="K14" s="65"/>
      <c r="L14" s="64"/>
      <c r="M14" s="66"/>
      <c r="N14" s="70"/>
      <c r="O14" s="142"/>
      <c r="P14" s="143"/>
      <c r="Q14" s="69"/>
      <c r="R14" s="40">
        <f t="shared" si="1"/>
        <v>0</v>
      </c>
      <c r="S14" s="135">
        <f>G14</f>
        <v>0</v>
      </c>
      <c r="T14" s="135"/>
      <c r="U14" s="62">
        <f>I14</f>
        <v>0</v>
      </c>
      <c r="V14" s="36"/>
    </row>
    <row r="15" spans="1:24" s="30" customFormat="1" ht="29.25" customHeight="1">
      <c r="A15" s="31"/>
      <c r="B15" s="37"/>
      <c r="C15" s="138"/>
      <c r="D15" s="145"/>
      <c r="E15" s="41"/>
      <c r="F15" s="40"/>
      <c r="G15" s="140"/>
      <c r="H15" s="141"/>
      <c r="I15" s="53"/>
      <c r="J15" s="64"/>
      <c r="K15" s="65"/>
      <c r="L15" s="64"/>
      <c r="M15" s="66"/>
      <c r="N15" s="68"/>
      <c r="O15" s="142"/>
      <c r="P15" s="144"/>
      <c r="Q15" s="71"/>
      <c r="R15" s="40"/>
      <c r="S15" s="135"/>
      <c r="T15" s="135"/>
      <c r="U15" s="62"/>
      <c r="V15" s="36"/>
    </row>
    <row r="16" spans="1:24" s="30" customFormat="1" ht="29.25" customHeight="1">
      <c r="A16" s="31"/>
      <c r="B16" s="39"/>
      <c r="C16" s="138"/>
      <c r="D16" s="145"/>
      <c r="E16" s="42"/>
      <c r="F16" s="40"/>
      <c r="G16" s="140"/>
      <c r="H16" s="141"/>
      <c r="I16" s="53"/>
      <c r="J16" s="64"/>
      <c r="K16" s="65"/>
      <c r="L16" s="64"/>
      <c r="M16" s="66"/>
      <c r="N16" s="70"/>
      <c r="O16" s="142"/>
      <c r="P16" s="144"/>
      <c r="Q16" s="72"/>
      <c r="R16" s="40"/>
      <c r="S16" s="135"/>
      <c r="T16" s="135"/>
      <c r="U16" s="62"/>
      <c r="V16" s="36"/>
    </row>
    <row r="17" spans="1:22" s="30" customFormat="1" ht="29.25" customHeight="1">
      <c r="A17" s="31"/>
      <c r="B17" s="39"/>
      <c r="C17" s="138"/>
      <c r="D17" s="139"/>
      <c r="E17" s="42"/>
      <c r="F17" s="40"/>
      <c r="G17" s="140"/>
      <c r="H17" s="141"/>
      <c r="I17" s="53"/>
      <c r="J17" s="64"/>
      <c r="K17" s="65"/>
      <c r="L17" s="64"/>
      <c r="M17" s="66"/>
      <c r="N17" s="70"/>
      <c r="O17" s="142"/>
      <c r="P17" s="143"/>
      <c r="Q17" s="72"/>
      <c r="R17" s="40"/>
      <c r="S17" s="135"/>
      <c r="T17" s="135"/>
      <c r="U17" s="62"/>
      <c r="V17" s="36"/>
    </row>
    <row r="18" spans="1:22" s="30" customFormat="1" ht="29.25" customHeight="1">
      <c r="A18" s="31"/>
      <c r="B18" s="43"/>
      <c r="C18" s="138"/>
      <c r="D18" s="139"/>
      <c r="E18" s="42"/>
      <c r="F18" s="53"/>
      <c r="G18" s="162"/>
      <c r="H18" s="163"/>
      <c r="I18" s="53"/>
      <c r="J18" s="64"/>
      <c r="K18" s="65"/>
      <c r="L18" s="64"/>
      <c r="M18" s="66"/>
      <c r="N18" s="73"/>
      <c r="O18" s="142"/>
      <c r="P18" s="143"/>
      <c r="Q18" s="72"/>
      <c r="R18" s="53"/>
      <c r="S18" s="164"/>
      <c r="T18" s="164"/>
      <c r="U18" s="53"/>
      <c r="V18" s="36"/>
    </row>
    <row r="19" spans="1:22" s="30" customFormat="1" ht="25.5" customHeight="1">
      <c r="A19" s="31"/>
      <c r="B19" s="148" t="s">
        <v>24</v>
      </c>
      <c r="C19" s="148"/>
      <c r="D19" s="149"/>
      <c r="E19" s="44"/>
      <c r="F19" s="74">
        <f>SUM(F11:F18)</f>
        <v>513000</v>
      </c>
      <c r="G19" s="150">
        <f>SUM(G11:H18)</f>
        <v>513000</v>
      </c>
      <c r="H19" s="151"/>
      <c r="I19" s="75">
        <f>SUM(I11:I18)</f>
        <v>51300</v>
      </c>
      <c r="J19" s="76"/>
      <c r="K19" s="77"/>
      <c r="L19" s="76"/>
      <c r="M19" s="66"/>
      <c r="N19" s="152" t="s">
        <v>24</v>
      </c>
      <c r="O19" s="148"/>
      <c r="P19" s="149"/>
      <c r="Q19" s="78"/>
      <c r="R19" s="75">
        <f>F19</f>
        <v>513000</v>
      </c>
      <c r="S19" s="150">
        <f>G19</f>
        <v>513000</v>
      </c>
      <c r="T19" s="151"/>
      <c r="U19" s="75">
        <f>I19</f>
        <v>51300</v>
      </c>
      <c r="V19" s="45"/>
    </row>
    <row r="20" spans="1:22" s="30" customFormat="1" ht="25.5" customHeight="1">
      <c r="A20" s="31"/>
      <c r="B20" s="54" t="s">
        <v>25</v>
      </c>
      <c r="C20" s="153"/>
      <c r="D20" s="154"/>
      <c r="E20" s="44" t="s">
        <v>26</v>
      </c>
      <c r="F20" s="155">
        <f>+G19+I19</f>
        <v>564300</v>
      </c>
      <c r="G20" s="156"/>
      <c r="H20" s="156"/>
      <c r="I20" s="157"/>
      <c r="J20" s="79"/>
      <c r="K20" s="80"/>
      <c r="L20" s="79"/>
      <c r="M20" s="66"/>
      <c r="N20" s="81" t="s">
        <v>25</v>
      </c>
      <c r="O20" s="158"/>
      <c r="P20" s="159"/>
      <c r="Q20" s="78" t="s">
        <v>26</v>
      </c>
      <c r="R20" s="155">
        <f>F20</f>
        <v>564300</v>
      </c>
      <c r="S20" s="156"/>
      <c r="T20" s="156"/>
      <c r="U20" s="157"/>
      <c r="V20" s="46"/>
    </row>
    <row r="21" spans="1:22" s="30" customFormat="1" ht="25.5" customHeight="1">
      <c r="A21" s="31"/>
      <c r="B21" s="54" t="s">
        <v>27</v>
      </c>
      <c r="C21" s="153"/>
      <c r="D21" s="154"/>
      <c r="E21" s="47" t="s">
        <v>28</v>
      </c>
      <c r="F21" s="47"/>
      <c r="G21" s="47" t="s">
        <v>29</v>
      </c>
      <c r="H21" s="161"/>
      <c r="I21" s="154"/>
      <c r="J21" s="32"/>
      <c r="K21" s="48"/>
      <c r="L21" s="32"/>
      <c r="M21" s="22"/>
      <c r="N21" s="47" t="s">
        <v>27</v>
      </c>
      <c r="O21" s="153"/>
      <c r="P21" s="154"/>
      <c r="Q21" s="47" t="s">
        <v>28</v>
      </c>
      <c r="R21" s="47"/>
      <c r="S21" s="47" t="s">
        <v>29</v>
      </c>
      <c r="T21" s="161"/>
      <c r="U21" s="154"/>
      <c r="V21" s="32"/>
    </row>
    <row r="22" spans="1:22" ht="30" customHeight="1">
      <c r="A22" s="49"/>
      <c r="B22" s="52" t="s">
        <v>30</v>
      </c>
      <c r="C22" s="146">
        <v>4522885089</v>
      </c>
      <c r="D22" s="146"/>
      <c r="E22" s="146"/>
      <c r="F22" s="51" t="s">
        <v>31</v>
      </c>
      <c r="G22" s="147">
        <v>232489304</v>
      </c>
      <c r="H22" s="147"/>
      <c r="I22" s="147"/>
      <c r="J22" s="50"/>
      <c r="K22" s="4"/>
      <c r="L22" s="5"/>
      <c r="M22" s="49"/>
      <c r="N22" s="52" t="str">
        <f>B22</f>
        <v>(PO :</v>
      </c>
      <c r="O22" s="146">
        <f>C22</f>
        <v>4522885089</v>
      </c>
      <c r="P22" s="146"/>
      <c r="Q22" s="146"/>
      <c r="R22" s="51" t="str">
        <f>F22</f>
        <v>)</v>
      </c>
      <c r="S22" s="147">
        <f>G22</f>
        <v>232489304</v>
      </c>
      <c r="T22" s="147"/>
      <c r="U22" s="147"/>
      <c r="V22" s="50"/>
    </row>
  </sheetData>
  <mergeCells count="74">
    <mergeCell ref="B2:I2"/>
    <mergeCell ref="N2:U2"/>
    <mergeCell ref="B3:I3"/>
    <mergeCell ref="N3:U3"/>
    <mergeCell ref="D4:E4"/>
    <mergeCell ref="F4:I4"/>
    <mergeCell ref="P4:Q4"/>
    <mergeCell ref="R4:U4"/>
    <mergeCell ref="D5:E5"/>
    <mergeCell ref="H5:I5"/>
    <mergeCell ref="P5:Q5"/>
    <mergeCell ref="T5:U5"/>
    <mergeCell ref="D6:E6"/>
    <mergeCell ref="F6:I6"/>
    <mergeCell ref="P6:Q6"/>
    <mergeCell ref="R6:U6"/>
    <mergeCell ref="D7:E7"/>
    <mergeCell ref="H7:I7"/>
    <mergeCell ref="P7:Q7"/>
    <mergeCell ref="T7:U7"/>
    <mergeCell ref="G9:H9"/>
    <mergeCell ref="S9:T9"/>
    <mergeCell ref="C10:D10"/>
    <mergeCell ref="G10:H10"/>
    <mergeCell ref="O10:P10"/>
    <mergeCell ref="S10:T10"/>
    <mergeCell ref="C11:D11"/>
    <mergeCell ref="G11:H11"/>
    <mergeCell ref="O11:P11"/>
    <mergeCell ref="S11:T11"/>
    <mergeCell ref="C12:D12"/>
    <mergeCell ref="G12:H12"/>
    <mergeCell ref="O12:P12"/>
    <mergeCell ref="S12:T12"/>
    <mergeCell ref="C13:D13"/>
    <mergeCell ref="G13:H13"/>
    <mergeCell ref="O13:P13"/>
    <mergeCell ref="S13:T13"/>
    <mergeCell ref="C14:D14"/>
    <mergeCell ref="G14:H14"/>
    <mergeCell ref="O14:P14"/>
    <mergeCell ref="S14:T14"/>
    <mergeCell ref="C15:D15"/>
    <mergeCell ref="G15:H15"/>
    <mergeCell ref="O15:P15"/>
    <mergeCell ref="S15:T15"/>
    <mergeCell ref="C16:D16"/>
    <mergeCell ref="G16:H16"/>
    <mergeCell ref="O16:P16"/>
    <mergeCell ref="S16:T16"/>
    <mergeCell ref="C17:D17"/>
    <mergeCell ref="G17:H17"/>
    <mergeCell ref="O17:P17"/>
    <mergeCell ref="S17:T17"/>
    <mergeCell ref="C18:D18"/>
    <mergeCell ref="G18:H18"/>
    <mergeCell ref="O18:P18"/>
    <mergeCell ref="S18:T18"/>
    <mergeCell ref="B19:D19"/>
    <mergeCell ref="G19:H19"/>
    <mergeCell ref="N19:P19"/>
    <mergeCell ref="S19:T19"/>
    <mergeCell ref="C22:E22"/>
    <mergeCell ref="G22:I22"/>
    <mergeCell ref="O22:Q22"/>
    <mergeCell ref="S22:U22"/>
    <mergeCell ref="C20:D20"/>
    <mergeCell ref="F20:I20"/>
    <mergeCell ref="O20:P20"/>
    <mergeCell ref="R20:U20"/>
    <mergeCell ref="C21:D21"/>
    <mergeCell ref="H21:I21"/>
    <mergeCell ref="O21:P21"/>
    <mergeCell ref="T21:U21"/>
  </mergeCells>
  <phoneticPr fontId="3" type="noConversion"/>
  <printOptions horizontalCentered="1" verticalCentered="1"/>
  <pageMargins left="0.39370078740157483" right="0.39370078740157483" top="0.39370078740157483" bottom="0.39370078740157483" header="0" footer="0"/>
  <pageSetup paperSize="9" scale="76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19</vt:i4>
      </vt:variant>
    </vt:vector>
  </HeadingPairs>
  <TitlesOfParts>
    <vt:vector size="38" baseType="lpstr">
      <vt:lpstr>YJLee</vt:lpstr>
      <vt:lpstr>PO</vt:lpstr>
      <vt:lpstr>4522829284</vt:lpstr>
      <vt:lpstr>4522838505</vt:lpstr>
      <vt:lpstr>4522839142</vt:lpstr>
      <vt:lpstr>4522865530</vt:lpstr>
      <vt:lpstr>4522875058</vt:lpstr>
      <vt:lpstr>4522875466</vt:lpstr>
      <vt:lpstr>4522875365</vt:lpstr>
      <vt:lpstr>4522875359</vt:lpstr>
      <vt:lpstr>4522875480</vt:lpstr>
      <vt:lpstr>4522875397</vt:lpstr>
      <vt:lpstr>4522875459</vt:lpstr>
      <vt:lpstr>4522875435</vt:lpstr>
      <vt:lpstr>4522866605</vt:lpstr>
      <vt:lpstr>4522875887</vt:lpstr>
      <vt:lpstr>4522866561</vt:lpstr>
      <vt:lpstr>4522876043</vt:lpstr>
      <vt:lpstr>4522885089</vt:lpstr>
      <vt:lpstr>PO</vt:lpstr>
      <vt:lpstr>'4522829284'!Print_Area</vt:lpstr>
      <vt:lpstr>'4522838505'!Print_Area</vt:lpstr>
      <vt:lpstr>'4522839142'!Print_Area</vt:lpstr>
      <vt:lpstr>'4522865530'!Print_Area</vt:lpstr>
      <vt:lpstr>'4522866561'!Print_Area</vt:lpstr>
      <vt:lpstr>'4522866605'!Print_Area</vt:lpstr>
      <vt:lpstr>'4522875058'!Print_Area</vt:lpstr>
      <vt:lpstr>'4522875359'!Print_Area</vt:lpstr>
      <vt:lpstr>'4522875365'!Print_Area</vt:lpstr>
      <vt:lpstr>'4522875397'!Print_Area</vt:lpstr>
      <vt:lpstr>'4522875435'!Print_Area</vt:lpstr>
      <vt:lpstr>'4522875459'!Print_Area</vt:lpstr>
      <vt:lpstr>'4522875466'!Print_Area</vt:lpstr>
      <vt:lpstr>'4522875480'!Print_Area</vt:lpstr>
      <vt:lpstr>'4522875887'!Print_Area</vt:lpstr>
      <vt:lpstr>'4522876043'!Print_Area</vt:lpstr>
      <vt:lpstr>'4522885089'!Print_Area</vt:lpstr>
      <vt:lpstr>PO!Print_Area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yjyang</dc:creator>
  <cp:lastModifiedBy>곽상훈</cp:lastModifiedBy>
  <cp:lastPrinted>2026-06-22T07:51:59Z</cp:lastPrinted>
  <dcterms:created xsi:type="dcterms:W3CDTF">2017-08-23T10:53:33Z</dcterms:created>
  <dcterms:modified xsi:type="dcterms:W3CDTF">2026-06-22T07:52:27Z</dcterms:modified>
</cp:coreProperties>
</file>